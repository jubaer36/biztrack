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4"/>
    <sheet state="visible" name="Shareholders info" sheetId="2" r:id="rId5"/>
    <sheet state="visible" name="BP Machine" sheetId="3" r:id="rId6"/>
    <sheet state="visible" name="Stethoscope" sheetId="4" r:id="rId7"/>
    <sheet state="visible" name="Instrument" sheetId="5" r:id="rId8"/>
    <sheet state="visible" name="OT Dress" sheetId="6" r:id="rId9"/>
    <sheet state="visible" name="Books" sheetId="7" r:id="rId10"/>
  </sheets>
  <definedNames/>
  <calcPr/>
</workbook>
</file>

<file path=xl/sharedStrings.xml><?xml version="1.0" encoding="utf-8"?>
<sst xmlns="http://schemas.openxmlformats.org/spreadsheetml/2006/main" count="138" uniqueCount="72">
  <si>
    <t>Product No.</t>
  </si>
  <si>
    <t>Brand/ Name</t>
  </si>
  <si>
    <t>Units</t>
  </si>
  <si>
    <t>Cost</t>
  </si>
  <si>
    <t>Cost per unit</t>
  </si>
  <si>
    <t xml:space="preserve">Unit Sold </t>
  </si>
  <si>
    <t>Revenue</t>
  </si>
  <si>
    <t>Merchant pay</t>
  </si>
  <si>
    <t>Merchant discount</t>
  </si>
  <si>
    <t>Price per unit</t>
  </si>
  <si>
    <t>Profit</t>
  </si>
  <si>
    <t>ROI</t>
  </si>
  <si>
    <t>Inventory</t>
  </si>
  <si>
    <t>AlpK2 Jap</t>
  </si>
  <si>
    <t>BSMI Heavy</t>
  </si>
  <si>
    <t>Instrument</t>
  </si>
  <si>
    <t>OT Dress</t>
  </si>
  <si>
    <t>Date</t>
  </si>
  <si>
    <t>Name</t>
  </si>
  <si>
    <t>Contact</t>
  </si>
  <si>
    <t>Investment</t>
  </si>
  <si>
    <t>Tenure</t>
  </si>
  <si>
    <t>Profit share</t>
  </si>
  <si>
    <t>Paid Back</t>
  </si>
  <si>
    <t>Remaining</t>
  </si>
  <si>
    <t>Opi</t>
  </si>
  <si>
    <t>Tasnim</t>
  </si>
  <si>
    <t>Remon</t>
  </si>
  <si>
    <t>Hamim</t>
  </si>
  <si>
    <t>BP MACHINE</t>
  </si>
  <si>
    <t>Product no.</t>
  </si>
  <si>
    <t>Brand</t>
  </si>
  <si>
    <t>Cost=/</t>
  </si>
  <si>
    <t>Transport Cost</t>
  </si>
  <si>
    <t>Final Cost</t>
  </si>
  <si>
    <t>Revenue=/</t>
  </si>
  <si>
    <t>Unit Sold</t>
  </si>
  <si>
    <t xml:space="preserve">Bp Cuff </t>
  </si>
  <si>
    <t>STETHOSCOPE</t>
  </si>
  <si>
    <t>Transport/=</t>
  </si>
  <si>
    <t>In stock</t>
  </si>
  <si>
    <t>Column 1</t>
  </si>
  <si>
    <t>BSMI heavy</t>
  </si>
  <si>
    <t>INSTRUMENT</t>
  </si>
  <si>
    <t>Error check</t>
  </si>
  <si>
    <t>Merchant Pay</t>
  </si>
  <si>
    <t>Merchant Discount</t>
  </si>
  <si>
    <t>Hammer</t>
  </si>
  <si>
    <t>Thermometer(Toshiba)</t>
  </si>
  <si>
    <t>Tuning Fork(256)</t>
  </si>
  <si>
    <t>Tongue depressor</t>
  </si>
  <si>
    <t>Pen Torch</t>
  </si>
  <si>
    <t>Cotton</t>
  </si>
  <si>
    <t>Measuring Tape</t>
  </si>
  <si>
    <t>Bag</t>
  </si>
  <si>
    <t>OT DRESS</t>
  </si>
  <si>
    <t>Colour</t>
  </si>
  <si>
    <t>Size</t>
  </si>
  <si>
    <t>Navy</t>
  </si>
  <si>
    <t>Sky</t>
  </si>
  <si>
    <t>Green</t>
  </si>
  <si>
    <t>BOOKS</t>
  </si>
  <si>
    <t>IMCI</t>
  </si>
  <si>
    <t>Macleod</t>
  </si>
  <si>
    <t>Lange Micro</t>
  </si>
  <si>
    <t>Matrix QB</t>
  </si>
  <si>
    <t>Abdullah Short case</t>
  </si>
  <si>
    <t>Arif Anatomy</t>
  </si>
  <si>
    <t>Clonus</t>
  </si>
  <si>
    <t>Endeavour med+surg</t>
  </si>
  <si>
    <t>Arif Physio</t>
  </si>
  <si>
    <t>Arif Biochem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</si>
</sst>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rgb="FFFFFFFF"/>
      <name val="Roboto"/>
    </font>
    <font>
      <color theme="1"/>
      <name val="Arial"/>
    </font>
    <font>
      <color rgb="FF434343"/>
      <name val="Roboto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</fills>
  <borders count="17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0"/>
    </xf>
    <xf borderId="2" fillId="2" fontId="1" numFmtId="0" xfId="0" applyAlignment="1" applyBorder="1" applyFont="1">
      <alignment horizontal="left" readingOrder="0" shrinkToFit="0" vertical="center" wrapText="0"/>
    </xf>
    <xf borderId="2" fillId="2" fontId="1" numFmtId="49" xfId="0" applyAlignment="1" applyBorder="1" applyFont="1" applyNumberFormat="1">
      <alignment horizontal="left" readingOrder="0" shrinkToFit="0" vertical="center" wrapText="0"/>
    </xf>
    <xf borderId="3" fillId="2" fontId="1" numFmtId="0" xfId="0" applyAlignment="1" applyBorder="1" applyFont="1">
      <alignment horizontal="left" readingOrder="0" shrinkToFit="0" vertical="center" wrapText="0"/>
    </xf>
    <xf borderId="0" fillId="0" fontId="2" numFmtId="0" xfId="0" applyAlignment="1" applyFont="1">
      <alignment vertical="bottom"/>
    </xf>
    <xf borderId="4" fillId="3" fontId="3" numFmtId="0" xfId="0" applyAlignment="1" applyBorder="1" applyFill="1" applyFont="1">
      <alignment horizontal="right" shrinkToFit="0" vertical="center" wrapText="0"/>
    </xf>
    <xf borderId="5" fillId="3" fontId="3" numFmtId="0" xfId="0" applyAlignment="1" applyBorder="1" applyFont="1">
      <alignment shrinkToFit="0" vertical="center" wrapText="0"/>
    </xf>
    <xf borderId="5" fillId="3" fontId="3" numFmtId="0" xfId="0" applyAlignment="1" applyBorder="1" applyFont="1">
      <alignment horizontal="right" shrinkToFit="0" vertical="center" wrapText="0"/>
    </xf>
    <xf borderId="5" fillId="3" fontId="3" numFmtId="0" xfId="0" applyAlignment="1" applyBorder="1" applyFont="1">
      <alignment horizontal="right" shrinkToFit="0" vertical="center" wrapText="0"/>
    </xf>
    <xf borderId="5" fillId="3" fontId="3" numFmtId="10" xfId="0" applyAlignment="1" applyBorder="1" applyFont="1" applyNumberFormat="1">
      <alignment horizontal="right" shrinkToFit="0" vertical="center" wrapText="0"/>
    </xf>
    <xf borderId="6" fillId="3" fontId="3" numFmtId="0" xfId="0" applyAlignment="1" applyBorder="1" applyFont="1">
      <alignment horizontal="right" shrinkToFit="0" vertical="center" wrapText="0"/>
    </xf>
    <xf borderId="0" fillId="0" fontId="2" numFmtId="0" xfId="0" applyAlignment="1" applyFont="1">
      <alignment horizontal="right" vertical="bottom"/>
    </xf>
    <xf borderId="7" fillId="4" fontId="3" numFmtId="0" xfId="0" applyAlignment="1" applyBorder="1" applyFill="1" applyFont="1">
      <alignment horizontal="right" shrinkToFit="0" vertical="center" wrapText="0"/>
    </xf>
    <xf borderId="8" fillId="4" fontId="3" numFmtId="0" xfId="0" applyAlignment="1" applyBorder="1" applyFont="1">
      <alignment shrinkToFit="0" vertical="center" wrapText="0"/>
    </xf>
    <xf borderId="8" fillId="4" fontId="3" numFmtId="0" xfId="0" applyAlignment="1" applyBorder="1" applyFont="1">
      <alignment horizontal="right" shrinkToFit="0" vertical="center" wrapText="0"/>
    </xf>
    <xf borderId="8" fillId="4" fontId="3" numFmtId="0" xfId="0" applyAlignment="1" applyBorder="1" applyFont="1">
      <alignment horizontal="right" shrinkToFit="0" vertical="center" wrapText="0"/>
    </xf>
    <xf borderId="8" fillId="4" fontId="3" numFmtId="10" xfId="0" applyAlignment="1" applyBorder="1" applyFont="1" applyNumberFormat="1">
      <alignment horizontal="right" shrinkToFit="0" vertical="center" wrapText="0"/>
    </xf>
    <xf borderId="9" fillId="4" fontId="3" numFmtId="0" xfId="0" applyAlignment="1" applyBorder="1" applyFont="1">
      <alignment horizontal="right" shrinkToFit="0" vertical="center" wrapText="0"/>
    </xf>
    <xf borderId="5" fillId="3" fontId="3" numFmtId="0" xfId="0" applyAlignment="1" applyBorder="1" applyFont="1">
      <alignment horizontal="right" shrinkToFit="0" vertical="center" wrapText="0"/>
    </xf>
    <xf borderId="6" fillId="3" fontId="3" numFmtId="0" xfId="0" applyAlignment="1" applyBorder="1" applyFont="1">
      <alignment horizontal="right" shrinkToFit="0" vertical="center" wrapText="0"/>
    </xf>
    <xf borderId="10" fillId="4" fontId="3" numFmtId="0" xfId="0" applyAlignment="1" applyBorder="1" applyFont="1">
      <alignment horizontal="right" shrinkToFit="0" vertical="center" wrapText="0"/>
    </xf>
    <xf borderId="11" fillId="4" fontId="3" numFmtId="0" xfId="0" applyAlignment="1" applyBorder="1" applyFont="1">
      <alignment shrinkToFit="0" vertical="center" wrapText="0"/>
    </xf>
    <xf borderId="12" fillId="3" fontId="3" numFmtId="0" xfId="0" applyAlignment="1" applyBorder="1" applyFont="1">
      <alignment horizontal="right" shrinkToFit="0" vertical="center" wrapText="0"/>
    </xf>
    <xf borderId="11" fillId="4" fontId="3" numFmtId="0" xfId="0" applyAlignment="1" applyBorder="1" applyFont="1">
      <alignment horizontal="right" shrinkToFit="0" vertical="center" wrapText="0"/>
    </xf>
    <xf borderId="11" fillId="4" fontId="3" numFmtId="0" xfId="0" applyAlignment="1" applyBorder="1" applyFont="1">
      <alignment horizontal="right" shrinkToFit="0" vertical="center" wrapText="0"/>
    </xf>
    <xf borderId="11" fillId="4" fontId="3" numFmtId="10" xfId="0" applyAlignment="1" applyBorder="1" applyFont="1" applyNumberFormat="1">
      <alignment horizontal="right" shrinkToFit="0" vertical="center" wrapText="0"/>
    </xf>
    <xf borderId="13" fillId="4" fontId="3" numFmtId="0" xfId="0" applyAlignment="1" applyBorder="1" applyFont="1">
      <alignment horizontal="right" shrinkToFit="0" vertical="center" wrapText="0"/>
    </xf>
    <xf borderId="0" fillId="0" fontId="2" numFmtId="0" xfId="0" applyAlignment="1" applyFont="1">
      <alignment vertical="bottom"/>
    </xf>
    <xf borderId="0" fillId="0" fontId="4" numFmtId="0" xfId="0" applyAlignment="1" applyFont="1">
      <alignment horizontal="left" readingOrder="0" shrinkToFit="0" vertical="center" wrapText="0"/>
    </xf>
    <xf borderId="0" fillId="0" fontId="4" numFmtId="10" xfId="0" applyAlignment="1" applyFont="1" applyNumberForma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Font="1"/>
    <xf borderId="0" fillId="0" fontId="4" numFmtId="0" xfId="0" applyAlignment="1" applyFont="1">
      <alignment readingOrder="0" shrinkToFit="0" vertical="center" wrapText="0"/>
    </xf>
    <xf borderId="0" fillId="0" fontId="4" numFmtId="10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10" xfId="0" applyFont="1" applyNumberFormat="1"/>
    <xf borderId="0" fillId="0" fontId="4" numFmtId="0" xfId="0" applyAlignment="1" applyFont="1">
      <alignment readingOrder="0"/>
    </xf>
    <xf borderId="0" fillId="3" fontId="4" numFmtId="0" xfId="0" applyFont="1"/>
    <xf borderId="14" fillId="5" fontId="4" numFmtId="0" xfId="0" applyAlignment="1" applyBorder="1" applyFill="1" applyFont="1">
      <alignment shrinkToFit="0" vertical="center" wrapText="0"/>
    </xf>
    <xf borderId="14" fillId="6" fontId="4" numFmtId="0" xfId="0" applyAlignment="1" applyBorder="1" applyFill="1" applyFon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5" fontId="4" numFmtId="0" xfId="0" applyAlignment="1" applyFont="1">
      <alignment shrinkToFit="0" vertical="center" wrapText="0"/>
    </xf>
    <xf borderId="0" fillId="6" fontId="4" numFmtId="0" xfId="0" applyAlignment="1" applyFont="1">
      <alignment shrinkToFit="0" vertical="center" wrapText="0"/>
    </xf>
    <xf borderId="0" fillId="0" fontId="4" numFmtId="49" xfId="0" applyAlignment="1" applyFont="1" applyNumberFormat="1">
      <alignment horizontal="left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14" fillId="5" fontId="4" numFmtId="0" xfId="0" applyAlignment="1" applyBorder="1" applyFont="1">
      <alignment shrinkToFit="0" vertical="center" wrapText="0"/>
    </xf>
    <xf borderId="14" fillId="6" fontId="4" numFmtId="0" xfId="0" applyAlignment="1" applyBorder="1" applyFont="1">
      <alignment shrinkToFit="0" vertical="center" wrapText="0"/>
    </xf>
    <xf borderId="0" fillId="0" fontId="4" numFmtId="0" xfId="0" applyAlignment="1" applyFont="1">
      <alignment shrinkToFit="0" vertical="center" wrapText="0"/>
    </xf>
    <xf borderId="15" fillId="5" fontId="4" numFmtId="0" xfId="0" applyAlignment="1" applyBorder="1" applyFont="1">
      <alignment shrinkToFit="0" vertical="center" wrapText="0"/>
    </xf>
    <xf borderId="15" fillId="6" fontId="4" numFmtId="0" xfId="0" applyAlignment="1" applyBorder="1" applyFont="1">
      <alignment shrinkToFit="0" vertical="center" wrapText="0"/>
    </xf>
    <xf borderId="16" fillId="5" fontId="4" numFmtId="0" xfId="0" applyAlignment="1" applyBorder="1" applyFont="1">
      <alignment shrinkToFit="0" vertical="center" wrapText="0"/>
    </xf>
    <xf borderId="16" fillId="6" fontId="4" numFmtId="0" xfId="0" applyAlignment="1" applyBorder="1" applyFont="1">
      <alignment shrinkToFit="0" vertical="center" wrapText="0"/>
    </xf>
    <xf borderId="14" fillId="6" fontId="4" numFmtId="0" xfId="0" applyAlignment="1" applyBorder="1" applyFont="1">
      <alignment readingOrder="0" shrinkToFit="0" vertical="center" wrapText="0"/>
    </xf>
    <xf borderId="14" fillId="5" fontId="4" numFmtId="0" xfId="0" applyAlignment="1" applyBorder="1" applyFont="1">
      <alignment readingOrder="0" shrinkToFit="0" vertical="center" wrapText="0"/>
    </xf>
    <xf borderId="14" fillId="6" fontId="4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7">
    <tableStyle count="4" pivot="0" name="Mai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areholders inf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P Machin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tethoscop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strumen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T Dres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ook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M5" displayName="Table16" name="Table16" id="1">
  <tableColumns count="13">
    <tableColumn name="Product No." id="1"/>
    <tableColumn name="Brand/ Name" id="2"/>
    <tableColumn name="Units" id="3"/>
    <tableColumn name="Cost" id="4"/>
    <tableColumn name="Cost per unit" id="5"/>
    <tableColumn name="Unit Sold " id="6"/>
    <tableColumn name="Revenue" id="7"/>
    <tableColumn name="Merchant pay" id="8"/>
    <tableColumn name="Merchant discount" id="9"/>
    <tableColumn name="Price per unit" id="10"/>
    <tableColumn name="Profit" id="11"/>
    <tableColumn name="ROI" id="12"/>
    <tableColumn name="Inventory" id="13"/>
  </tableColumns>
  <tableStyleInfo name="Main-style" showColumnStripes="0" showFirstColumn="1" showLastColumn="1" showRowStripes="1"/>
</table>
</file>

<file path=xl/tables/table2.xml><?xml version="1.0" encoding="utf-8"?>
<table xmlns="http://schemas.openxmlformats.org/spreadsheetml/2006/main" ref="A1:I5" displayName="Table21" name="Table21" id="2">
  <tableColumns count="9">
    <tableColumn name="Date" id="1"/>
    <tableColumn name="Name" id="2"/>
    <tableColumn name="Contact" id="3"/>
    <tableColumn name="Investment" id="4"/>
    <tableColumn name="Tenure" id="5"/>
    <tableColumn name="Profit share" id="6"/>
    <tableColumn name="Profit" id="7"/>
    <tableColumn name="Paid Back" id="8"/>
    <tableColumn name="Remaining" id="9"/>
  </tableColumns>
  <tableStyleInfo name="Shareholders info-style" showColumnStripes="0" showFirstColumn="1" showLastColumn="1" showRowStripes="1"/>
</table>
</file>

<file path=xl/tables/table3.xml><?xml version="1.0" encoding="utf-8"?>
<table xmlns="http://schemas.openxmlformats.org/spreadsheetml/2006/main" ref="A3:L5" displayName="Table1" name="Table1" id="3">
  <tableColumns count="12">
    <tableColumn name="Product no." id="1"/>
    <tableColumn name="Brand" id="2"/>
    <tableColumn name="Units" id="3"/>
    <tableColumn name="Cost=/" id="4"/>
    <tableColumn name="Transport Cost" id="5"/>
    <tableColumn name="Final Cost" id="6"/>
    <tableColumn name="Cost per unit" id="7"/>
    <tableColumn name="Revenue=/" id="8"/>
    <tableColumn name="Unit Sold" id="9"/>
    <tableColumn name="Price per unit" id="10"/>
    <tableColumn name="Profit" id="11"/>
    <tableColumn name="Inventory" id="12"/>
  </tableColumns>
  <tableStyleInfo name="BP Machine-style" showColumnStripes="0" showFirstColumn="1" showLastColumn="1" showRowStripes="1"/>
</table>
</file>

<file path=xl/tables/table4.xml><?xml version="1.0" encoding="utf-8"?>
<table xmlns="http://schemas.openxmlformats.org/spreadsheetml/2006/main" ref="A3:J4" displayName="Table2" name="Table2" id="4">
  <tableColumns count="10">
    <tableColumn name="Product no." id="1"/>
    <tableColumn name="Brand" id="2"/>
    <tableColumn name="Units" id="3"/>
    <tableColumn name="Cost=/" id="4"/>
    <tableColumn name="Transport/=" id="5"/>
    <tableColumn name="Final Cost" id="6"/>
    <tableColumn name="Cost per unit" id="7"/>
    <tableColumn name="Unit Sold" id="8"/>
    <tableColumn name="In stock" id="9"/>
    <tableColumn name="Column 1" id="10"/>
  </tableColumns>
  <tableStyleInfo name="Stethoscope-style" showColumnStripes="0" showFirstColumn="1" showLastColumn="1" showRowStripes="1"/>
</table>
</file>

<file path=xl/tables/table5.xml><?xml version="1.0" encoding="utf-8"?>
<table xmlns="http://schemas.openxmlformats.org/spreadsheetml/2006/main" ref="A3:P11" displayName="Table3" name="Table3" id="5">
  <tableColumns count="16">
    <tableColumn name="Product no." id="1"/>
    <tableColumn name="Name" id="2"/>
    <tableColumn name="Units" id="3"/>
    <tableColumn name="Error check" id="4"/>
    <tableColumn name="Cost=/" id="5"/>
    <tableColumn name="Transport/=" id="6"/>
    <tableColumn name="Final Cost" id="7"/>
    <tableColumn name="Cost per unit" id="8"/>
    <tableColumn name="Revenue=/" id="9"/>
    <tableColumn name="Unit Sold" id="10"/>
    <tableColumn name="Price per unit" id="11"/>
    <tableColumn name="Profit" id="12"/>
    <tableColumn name="Merchant Pay" id="13"/>
    <tableColumn name="Merchant Discount" id="14"/>
    <tableColumn name="ROI" id="15"/>
    <tableColumn name="Inventory" id="16"/>
  </tableColumns>
  <tableStyleInfo name="Instrument-style" showColumnStripes="0" showFirstColumn="1" showLastColumn="1" showRowStripes="1"/>
</table>
</file>

<file path=xl/tables/table6.xml><?xml version="1.0" encoding="utf-8"?>
<table xmlns="http://schemas.openxmlformats.org/spreadsheetml/2006/main" ref="A3:P19" displayName="Table4" name="Table4" id="6">
  <tableColumns count="16">
    <tableColumn name="Product no." id="1"/>
    <tableColumn name="Colour" id="2"/>
    <tableColumn name="Size" id="3"/>
    <tableColumn name="Units" id="4"/>
    <tableColumn name="Cost=/" id="5"/>
    <tableColumn name="Transport/=" id="6"/>
    <tableColumn name="Final Cost" id="7"/>
    <tableColumn name="Cost per unit" id="8"/>
    <tableColumn name="Revenue=/" id="9"/>
    <tableColumn name="Unit Sold" id="10"/>
    <tableColumn name="Price per unit" id="11"/>
    <tableColumn name="Profit" id="12"/>
    <tableColumn name="Merchant pay" id="13"/>
    <tableColumn name="Merchant Discount" id="14"/>
    <tableColumn name="ROI" id="15"/>
    <tableColumn name="Inventory" id="16"/>
  </tableColumns>
  <tableStyleInfo name="OT Dress-style" showColumnStripes="0" showFirstColumn="1" showLastColumn="1" showRowStripes="1"/>
</table>
</file>

<file path=xl/tables/table7.xml><?xml version="1.0" encoding="utf-8"?>
<table xmlns="http://schemas.openxmlformats.org/spreadsheetml/2006/main" ref="A3:L13" displayName="Table5" name="Table5" id="7">
  <tableColumns count="12">
    <tableColumn name="Product no." id="1"/>
    <tableColumn name="Brand" id="2"/>
    <tableColumn name="Units" id="3"/>
    <tableColumn name="Cost=/" id="4"/>
    <tableColumn name="Transport/=" id="5"/>
    <tableColumn name="Final Cost" id="6"/>
    <tableColumn name="Cost per unit" id="7"/>
    <tableColumn name="Revenue=/" id="8"/>
    <tableColumn name="Unit Sold" id="9"/>
    <tableColumn name="Price per unit" id="10"/>
    <tableColumn name="Profit" id="11"/>
    <tableColumn name="ROI" id="12"/>
  </tableColumns>
  <tableStyleInfo name="Book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4.5"/>
    <col customWidth="1" min="12" max="12" width="12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3" t="s">
        <v>11</v>
      </c>
      <c r="M1" s="4" t="s">
        <v>12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>
        <v>1.0</v>
      </c>
      <c r="B2" s="7" t="s">
        <v>13</v>
      </c>
      <c r="C2" s="8">
        <f>'BP Machine'!C4</f>
        <v>37</v>
      </c>
      <c r="D2" s="8">
        <f>'BP Machine'!F4</f>
        <v>69036.31579</v>
      </c>
      <c r="E2" s="8">
        <f t="shared" ref="E2:E5" si="2">D2/C2</f>
        <v>1865.846373</v>
      </c>
      <c r="F2" s="8" t="str">
        <f>'BP Machine'!I4</f>
        <v/>
      </c>
      <c r="G2" s="8" t="str">
        <f>'BP Machine'!H4</f>
        <v/>
      </c>
      <c r="H2" s="8" t="str">
        <f t="shared" ref="H2:I2" si="1">#REF!</f>
        <v>#REF!</v>
      </c>
      <c r="I2" s="8" t="str">
        <f t="shared" si="1"/>
        <v>#REF!</v>
      </c>
      <c r="J2" s="8" t="str">
        <f t="shared" ref="J2:J5" si="4">G2/F2</f>
        <v>#DIV/0!</v>
      </c>
      <c r="K2" s="9" t="str">
        <f t="shared" ref="K2:K5" si="5">(J2-E2)*F2</f>
        <v>#DIV/0!</v>
      </c>
      <c r="L2" s="10" t="str">
        <f t="shared" ref="L2:L5" si="6">K2/D2</f>
        <v>#DIV/0!</v>
      </c>
      <c r="M2" s="11">
        <f t="shared" ref="M2:M5" si="7">C2-F2</f>
        <v>37</v>
      </c>
      <c r="N2" s="5"/>
      <c r="O2" s="12">
        <f t="shared" ref="O2:O5" si="8">M2*E2</f>
        <v>69036.31579</v>
      </c>
      <c r="P2" s="5"/>
      <c r="Q2" s="5"/>
      <c r="R2" s="5"/>
      <c r="S2" s="5"/>
      <c r="T2" s="5"/>
      <c r="U2" s="5"/>
      <c r="V2" s="5"/>
      <c r="W2" s="5"/>
      <c r="X2" s="5"/>
    </row>
    <row r="3">
      <c r="A3" s="13">
        <v>2.0</v>
      </c>
      <c r="B3" s="14" t="s">
        <v>14</v>
      </c>
      <c r="C3" s="8">
        <f>Stethoscope!$C$4</f>
        <v>27</v>
      </c>
      <c r="D3" s="8">
        <f>Stethoscope!$F$4</f>
        <v>54794.54545</v>
      </c>
      <c r="E3" s="8">
        <f t="shared" si="2"/>
        <v>2029.427609</v>
      </c>
      <c r="F3" s="8" t="str">
        <f>Stethoscope!$H$4</f>
        <v/>
      </c>
      <c r="G3" s="8" t="str">
        <f t="shared" ref="G3:I3" si="3">#REF!</f>
        <v>#REF!</v>
      </c>
      <c r="H3" s="8" t="str">
        <f t="shared" si="3"/>
        <v>#REF!</v>
      </c>
      <c r="I3" s="8" t="str">
        <f t="shared" si="3"/>
        <v>#REF!</v>
      </c>
      <c r="J3" s="15" t="str">
        <f t="shared" si="4"/>
        <v>#REF!</v>
      </c>
      <c r="K3" s="16" t="str">
        <f t="shared" si="5"/>
        <v>#REF!</v>
      </c>
      <c r="L3" s="17" t="str">
        <f t="shared" si="6"/>
        <v>#REF!</v>
      </c>
      <c r="M3" s="18">
        <f t="shared" si="7"/>
        <v>27</v>
      </c>
      <c r="N3" s="5"/>
      <c r="O3" s="12">
        <f t="shared" si="8"/>
        <v>54794.54545</v>
      </c>
      <c r="P3" s="5"/>
      <c r="Q3" s="5"/>
      <c r="R3" s="5"/>
      <c r="S3" s="5"/>
      <c r="T3" s="5"/>
      <c r="U3" s="5"/>
      <c r="V3" s="5"/>
      <c r="W3" s="5"/>
      <c r="X3" s="5"/>
    </row>
    <row r="4">
      <c r="A4" s="6">
        <v>3.0</v>
      </c>
      <c r="B4" s="7" t="s">
        <v>15</v>
      </c>
      <c r="C4" s="19" t="str">
        <f>Instrument!C12</f>
        <v/>
      </c>
      <c r="D4" s="19" t="str">
        <f>Instrument!G12</f>
        <v/>
      </c>
      <c r="E4" s="8" t="str">
        <f t="shared" si="2"/>
        <v>#DIV/0!</v>
      </c>
      <c r="F4" s="8" t="str">
        <f>Instrument!J12</f>
        <v/>
      </c>
      <c r="G4" s="8" t="str">
        <f>Instrument!I12</f>
        <v/>
      </c>
      <c r="H4" s="19" t="str">
        <f>Instrument!M12</f>
        <v/>
      </c>
      <c r="I4" s="19" t="str">
        <f>Instrument!N12</f>
        <v/>
      </c>
      <c r="J4" s="8" t="str">
        <f t="shared" si="4"/>
        <v>#DIV/0!</v>
      </c>
      <c r="K4" s="9" t="str">
        <f t="shared" si="5"/>
        <v>#DIV/0!</v>
      </c>
      <c r="L4" s="10" t="str">
        <f t="shared" si="6"/>
        <v>#DIV/0!</v>
      </c>
      <c r="M4" s="20">
        <f t="shared" si="7"/>
        <v>0</v>
      </c>
      <c r="N4" s="5"/>
      <c r="O4" s="12" t="str">
        <f t="shared" si="8"/>
        <v>#DIV/0!</v>
      </c>
      <c r="P4" s="5"/>
      <c r="Q4" s="5"/>
      <c r="R4" s="5"/>
      <c r="S4" s="5"/>
      <c r="T4" s="5"/>
      <c r="U4" s="5"/>
      <c r="V4" s="5"/>
      <c r="W4" s="5"/>
      <c r="X4" s="5"/>
    </row>
    <row r="5">
      <c r="A5" s="21">
        <v>4.0</v>
      </c>
      <c r="B5" s="22" t="s">
        <v>16</v>
      </c>
      <c r="C5" s="23" t="str">
        <f>'OT Dress'!D25</f>
        <v/>
      </c>
      <c r="D5" s="23" t="str">
        <f>'OT Dress'!G25</f>
        <v/>
      </c>
      <c r="E5" s="23" t="str">
        <f t="shared" si="2"/>
        <v>#DIV/0!</v>
      </c>
      <c r="F5" s="23" t="str">
        <f>'OT Dress'!J25</f>
        <v/>
      </c>
      <c r="G5" s="23" t="str">
        <f>'OT Dress'!I25</f>
        <v/>
      </c>
      <c r="H5" s="23" t="str">
        <f>'OT Dress'!M25</f>
        <v/>
      </c>
      <c r="I5" s="23" t="str">
        <f>'OT Dress'!N25</f>
        <v/>
      </c>
      <c r="J5" s="24" t="str">
        <f t="shared" si="4"/>
        <v>#DIV/0!</v>
      </c>
      <c r="K5" s="25" t="str">
        <f t="shared" si="5"/>
        <v>#DIV/0!</v>
      </c>
      <c r="L5" s="26" t="str">
        <f t="shared" si="6"/>
        <v>#DIV/0!</v>
      </c>
      <c r="M5" s="27">
        <f t="shared" si="7"/>
        <v>0</v>
      </c>
      <c r="N5" s="5"/>
      <c r="O5" s="12" t="str">
        <f t="shared" si="8"/>
        <v>#DIV/0!</v>
      </c>
      <c r="P5" s="5"/>
      <c r="Q5" s="5"/>
      <c r="R5" s="5"/>
      <c r="S5" s="5"/>
      <c r="T5" s="5"/>
      <c r="U5" s="5"/>
      <c r="V5" s="5"/>
      <c r="W5" s="5"/>
      <c r="X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>
      <c r="A14" s="5"/>
      <c r="B14" s="5"/>
      <c r="C14" s="5"/>
      <c r="D14" s="5"/>
      <c r="E14" s="28"/>
      <c r="F14" s="28"/>
      <c r="G14" s="5"/>
      <c r="H14" s="5"/>
      <c r="I14" s="5"/>
      <c r="J14" s="28"/>
      <c r="K14" s="28"/>
      <c r="L14" s="5"/>
      <c r="M14" s="5"/>
      <c r="N14" s="5"/>
      <c r="O14" s="28"/>
      <c r="P14" s="5"/>
      <c r="Q14" s="5"/>
      <c r="R14" s="5"/>
      <c r="S14" s="5"/>
      <c r="T14" s="5"/>
      <c r="U14" s="5"/>
      <c r="V14" s="5"/>
      <c r="W14" s="5"/>
      <c r="X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3.75"/>
    <col customWidth="1" min="6" max="6" width="15.75"/>
    <col customWidth="1" min="10" max="10" width="17.88"/>
  </cols>
  <sheetData>
    <row r="1">
      <c r="A1" s="29" t="s">
        <v>17</v>
      </c>
      <c r="B1" s="29" t="s">
        <v>18</v>
      </c>
      <c r="C1" s="29" t="s">
        <v>19</v>
      </c>
      <c r="D1" s="29" t="s">
        <v>20</v>
      </c>
      <c r="E1" s="29" t="s">
        <v>21</v>
      </c>
      <c r="F1" s="30" t="s">
        <v>22</v>
      </c>
      <c r="G1" s="29" t="s">
        <v>10</v>
      </c>
      <c r="H1" s="31" t="s">
        <v>23</v>
      </c>
      <c r="I1" s="31" t="s">
        <v>24</v>
      </c>
      <c r="J1" s="32"/>
      <c r="K1" s="32"/>
      <c r="L1" s="32"/>
      <c r="M1" s="32"/>
      <c r="N1" s="32"/>
    </row>
    <row r="2">
      <c r="B2" s="33" t="s">
        <v>25</v>
      </c>
      <c r="D2" s="33">
        <v>18580.0</v>
      </c>
      <c r="F2" s="34"/>
      <c r="H2" s="35">
        <v>4749.719136249209</v>
      </c>
      <c r="I2" s="35">
        <f t="shared" ref="I2:I3" si="1">D2+G2-H2</f>
        <v>13830.28086</v>
      </c>
      <c r="J2" s="32"/>
      <c r="K2" s="32"/>
      <c r="L2" s="32"/>
      <c r="M2" s="32"/>
      <c r="N2" s="32"/>
    </row>
    <row r="3">
      <c r="A3" s="35"/>
      <c r="B3" s="36" t="s">
        <v>26</v>
      </c>
      <c r="C3" s="35"/>
      <c r="D3" s="36">
        <v>15000.0</v>
      </c>
      <c r="E3" s="35"/>
      <c r="F3" s="34"/>
      <c r="H3" s="35"/>
      <c r="I3" s="35">
        <f t="shared" si="1"/>
        <v>15000</v>
      </c>
    </row>
    <row r="4">
      <c r="A4" s="35"/>
      <c r="B4" s="36" t="s">
        <v>27</v>
      </c>
      <c r="C4" s="35"/>
      <c r="D4" s="36">
        <v>18000.0</v>
      </c>
      <c r="E4" s="35"/>
      <c r="F4" s="34"/>
      <c r="H4" s="36">
        <f>18000+4500</f>
        <v>22500</v>
      </c>
      <c r="I4" s="35"/>
    </row>
    <row r="5">
      <c r="A5" s="35"/>
      <c r="B5" s="36" t="s">
        <v>28</v>
      </c>
      <c r="C5" s="35"/>
      <c r="D5" s="36">
        <v>8800.0</v>
      </c>
      <c r="E5" s="35"/>
      <c r="F5" s="34"/>
      <c r="H5" s="36">
        <f>8700+2230</f>
        <v>10930</v>
      </c>
      <c r="I5" s="35"/>
    </row>
    <row r="6">
      <c r="F6" s="37"/>
    </row>
    <row r="7">
      <c r="F7" s="37"/>
    </row>
    <row r="8">
      <c r="F8" s="37"/>
    </row>
    <row r="9">
      <c r="F9" s="37"/>
    </row>
    <row r="10">
      <c r="F10" s="37"/>
    </row>
    <row r="11">
      <c r="F11" s="37"/>
    </row>
    <row r="12">
      <c r="F12" s="37"/>
    </row>
    <row r="13">
      <c r="F13" s="37"/>
    </row>
    <row r="14">
      <c r="F14" s="37"/>
    </row>
    <row r="15">
      <c r="F15" s="37"/>
    </row>
    <row r="16">
      <c r="F16" s="37"/>
    </row>
    <row r="17">
      <c r="F17" s="37"/>
    </row>
    <row r="18">
      <c r="F18" s="37"/>
    </row>
    <row r="19">
      <c r="F19" s="37"/>
    </row>
    <row r="20">
      <c r="F20" s="37"/>
    </row>
    <row r="21">
      <c r="F21" s="37"/>
    </row>
    <row r="22">
      <c r="F22" s="37"/>
    </row>
    <row r="23">
      <c r="F23" s="37"/>
    </row>
    <row r="24">
      <c r="F24" s="37"/>
    </row>
    <row r="25">
      <c r="F25" s="37"/>
    </row>
    <row r="26">
      <c r="F26" s="37"/>
    </row>
    <row r="27">
      <c r="F27" s="37"/>
    </row>
    <row r="28">
      <c r="F28" s="37"/>
    </row>
    <row r="29">
      <c r="F29" s="37"/>
    </row>
    <row r="30">
      <c r="F30" s="37"/>
    </row>
    <row r="31">
      <c r="F31" s="37"/>
    </row>
    <row r="32">
      <c r="F32" s="37"/>
    </row>
    <row r="33">
      <c r="F33" s="37"/>
    </row>
    <row r="34">
      <c r="F34" s="37"/>
    </row>
    <row r="35">
      <c r="F35" s="37"/>
    </row>
    <row r="36">
      <c r="F36" s="37"/>
    </row>
    <row r="37">
      <c r="F37" s="37"/>
    </row>
    <row r="38">
      <c r="F38" s="37"/>
    </row>
    <row r="39">
      <c r="F39" s="37"/>
    </row>
    <row r="40">
      <c r="F40" s="37"/>
    </row>
    <row r="41">
      <c r="F41" s="37"/>
    </row>
    <row r="42">
      <c r="F42" s="37"/>
    </row>
    <row r="43">
      <c r="F43" s="37"/>
    </row>
    <row r="44">
      <c r="F44" s="37"/>
    </row>
    <row r="45">
      <c r="F45" s="37"/>
    </row>
    <row r="46">
      <c r="F46" s="37"/>
    </row>
    <row r="47">
      <c r="F47" s="37"/>
    </row>
    <row r="48">
      <c r="F48" s="37"/>
    </row>
    <row r="49">
      <c r="F49" s="37"/>
    </row>
    <row r="50">
      <c r="F50" s="37"/>
    </row>
    <row r="51">
      <c r="F51" s="37"/>
    </row>
    <row r="52">
      <c r="F52" s="37"/>
    </row>
    <row r="53">
      <c r="F53" s="37"/>
    </row>
    <row r="54">
      <c r="F54" s="37"/>
    </row>
    <row r="55">
      <c r="F55" s="37"/>
    </row>
    <row r="56">
      <c r="F56" s="37"/>
    </row>
    <row r="57">
      <c r="F57" s="37"/>
    </row>
    <row r="58">
      <c r="F58" s="37"/>
    </row>
    <row r="59">
      <c r="F59" s="37"/>
    </row>
    <row r="60">
      <c r="F60" s="37"/>
    </row>
    <row r="61">
      <c r="F61" s="37"/>
    </row>
    <row r="62">
      <c r="F62" s="37"/>
    </row>
    <row r="63">
      <c r="F63" s="37"/>
    </row>
    <row r="64">
      <c r="F64" s="37"/>
    </row>
    <row r="65">
      <c r="F65" s="37"/>
    </row>
    <row r="66">
      <c r="F66" s="37"/>
    </row>
    <row r="67">
      <c r="F67" s="37"/>
    </row>
    <row r="68">
      <c r="F68" s="37"/>
    </row>
    <row r="69">
      <c r="F69" s="37"/>
    </row>
    <row r="70">
      <c r="F70" s="37"/>
    </row>
    <row r="71">
      <c r="F71" s="37"/>
    </row>
    <row r="72">
      <c r="F72" s="37"/>
    </row>
    <row r="73">
      <c r="F73" s="37"/>
    </row>
    <row r="74">
      <c r="F74" s="37"/>
    </row>
    <row r="75">
      <c r="F75" s="37"/>
    </row>
    <row r="76">
      <c r="F76" s="37"/>
    </row>
    <row r="77">
      <c r="F77" s="37"/>
    </row>
    <row r="78">
      <c r="F78" s="37"/>
    </row>
    <row r="79">
      <c r="F79" s="37"/>
    </row>
    <row r="80">
      <c r="F80" s="37"/>
    </row>
    <row r="81">
      <c r="F81" s="37"/>
    </row>
    <row r="82">
      <c r="F82" s="37"/>
    </row>
    <row r="83">
      <c r="F83" s="37"/>
    </row>
    <row r="84">
      <c r="F84" s="37"/>
    </row>
    <row r="85">
      <c r="F85" s="37"/>
    </row>
    <row r="86">
      <c r="F86" s="37"/>
    </row>
    <row r="87">
      <c r="F87" s="37"/>
    </row>
    <row r="88">
      <c r="F88" s="37"/>
    </row>
    <row r="89">
      <c r="F89" s="37"/>
    </row>
    <row r="90">
      <c r="F90" s="37"/>
    </row>
    <row r="91">
      <c r="F91" s="37"/>
    </row>
    <row r="92">
      <c r="F92" s="37"/>
    </row>
    <row r="93">
      <c r="F93" s="37"/>
    </row>
    <row r="94">
      <c r="F94" s="37"/>
    </row>
    <row r="95">
      <c r="F95" s="37"/>
    </row>
    <row r="96">
      <c r="F96" s="37"/>
    </row>
    <row r="97">
      <c r="F97" s="37"/>
    </row>
    <row r="98">
      <c r="F98" s="37"/>
    </row>
    <row r="99">
      <c r="F99" s="37"/>
    </row>
    <row r="100">
      <c r="F100" s="37"/>
    </row>
    <row r="101">
      <c r="F101" s="37"/>
    </row>
    <row r="102">
      <c r="F102" s="37"/>
    </row>
    <row r="103">
      <c r="F103" s="37"/>
    </row>
    <row r="104">
      <c r="F104" s="37"/>
    </row>
    <row r="105">
      <c r="F105" s="37"/>
    </row>
    <row r="106">
      <c r="F106" s="37"/>
    </row>
    <row r="107">
      <c r="F107" s="37"/>
    </row>
    <row r="108">
      <c r="F108" s="37"/>
    </row>
    <row r="109">
      <c r="F109" s="37"/>
    </row>
    <row r="110">
      <c r="F110" s="37"/>
    </row>
    <row r="111">
      <c r="F111" s="37"/>
    </row>
    <row r="112">
      <c r="F112" s="37"/>
    </row>
    <row r="113">
      <c r="F113" s="37"/>
    </row>
    <row r="114">
      <c r="F114" s="37"/>
    </row>
    <row r="115">
      <c r="F115" s="37"/>
    </row>
    <row r="116">
      <c r="F116" s="37"/>
    </row>
    <row r="117">
      <c r="F117" s="37"/>
    </row>
    <row r="118">
      <c r="F118" s="37"/>
    </row>
    <row r="119">
      <c r="F119" s="37"/>
    </row>
    <row r="120">
      <c r="F120" s="37"/>
    </row>
    <row r="121">
      <c r="F121" s="37"/>
    </row>
    <row r="122">
      <c r="F122" s="37"/>
    </row>
    <row r="123">
      <c r="F123" s="37"/>
    </row>
    <row r="124">
      <c r="F124" s="37"/>
    </row>
    <row r="125">
      <c r="F125" s="37"/>
    </row>
    <row r="126">
      <c r="F126" s="37"/>
    </row>
    <row r="127">
      <c r="F127" s="37"/>
    </row>
    <row r="128">
      <c r="F128" s="37"/>
    </row>
    <row r="129">
      <c r="F129" s="37"/>
    </row>
    <row r="130">
      <c r="F130" s="37"/>
    </row>
    <row r="131">
      <c r="F131" s="37"/>
    </row>
    <row r="132">
      <c r="F132" s="37"/>
    </row>
    <row r="133">
      <c r="F133" s="37"/>
    </row>
    <row r="134">
      <c r="F134" s="37"/>
    </row>
    <row r="135">
      <c r="F135" s="37"/>
    </row>
    <row r="136">
      <c r="F136" s="37"/>
    </row>
    <row r="137">
      <c r="F137" s="37"/>
    </row>
    <row r="138">
      <c r="F138" s="37"/>
    </row>
    <row r="139">
      <c r="F139" s="37"/>
    </row>
    <row r="140">
      <c r="F140" s="37"/>
    </row>
    <row r="141">
      <c r="F141" s="37"/>
    </row>
    <row r="142">
      <c r="F142" s="37"/>
    </row>
    <row r="143">
      <c r="F143" s="37"/>
    </row>
    <row r="144">
      <c r="F144" s="37"/>
    </row>
    <row r="145">
      <c r="F145" s="37"/>
    </row>
    <row r="146">
      <c r="F146" s="37"/>
    </row>
    <row r="147">
      <c r="F147" s="37"/>
    </row>
    <row r="148">
      <c r="F148" s="37"/>
    </row>
    <row r="149">
      <c r="F149" s="37"/>
    </row>
    <row r="150">
      <c r="F150" s="37"/>
    </row>
    <row r="151">
      <c r="F151" s="37"/>
    </row>
    <row r="152">
      <c r="F152" s="37"/>
    </row>
    <row r="153">
      <c r="F153" s="37"/>
    </row>
    <row r="154">
      <c r="F154" s="37"/>
    </row>
    <row r="155">
      <c r="F155" s="37"/>
    </row>
    <row r="156">
      <c r="F156" s="37"/>
    </row>
    <row r="157">
      <c r="F157" s="37"/>
    </row>
    <row r="158">
      <c r="F158" s="37"/>
    </row>
    <row r="159">
      <c r="F159" s="37"/>
    </row>
    <row r="160">
      <c r="F160" s="37"/>
    </row>
    <row r="161">
      <c r="F161" s="37"/>
    </row>
    <row r="162">
      <c r="F162" s="37"/>
    </row>
    <row r="163">
      <c r="F163" s="37"/>
    </row>
    <row r="164">
      <c r="F164" s="37"/>
    </row>
    <row r="165">
      <c r="F165" s="37"/>
    </row>
    <row r="166">
      <c r="F166" s="37"/>
    </row>
    <row r="167">
      <c r="F167" s="37"/>
    </row>
    <row r="168">
      <c r="F168" s="37"/>
    </row>
    <row r="169">
      <c r="F169" s="37"/>
    </row>
    <row r="170">
      <c r="F170" s="37"/>
    </row>
    <row r="171">
      <c r="F171" s="37"/>
    </row>
    <row r="172">
      <c r="F172" s="37"/>
    </row>
    <row r="173">
      <c r="F173" s="37"/>
    </row>
    <row r="174">
      <c r="F174" s="37"/>
    </row>
    <row r="175">
      <c r="F175" s="37"/>
    </row>
    <row r="176">
      <c r="F176" s="37"/>
    </row>
    <row r="177">
      <c r="F177" s="37"/>
    </row>
    <row r="178">
      <c r="F178" s="37"/>
    </row>
    <row r="179">
      <c r="F179" s="37"/>
    </row>
    <row r="180">
      <c r="F180" s="37"/>
    </row>
    <row r="181">
      <c r="F181" s="37"/>
    </row>
    <row r="182">
      <c r="F182" s="37"/>
    </row>
    <row r="183">
      <c r="F183" s="37"/>
    </row>
    <row r="184">
      <c r="F184" s="37"/>
    </row>
    <row r="185">
      <c r="F185" s="37"/>
    </row>
    <row r="186">
      <c r="F186" s="37"/>
    </row>
    <row r="187">
      <c r="F187" s="37"/>
    </row>
    <row r="188">
      <c r="F188" s="37"/>
    </row>
    <row r="189">
      <c r="F189" s="37"/>
    </row>
    <row r="190">
      <c r="F190" s="37"/>
    </row>
    <row r="191">
      <c r="F191" s="37"/>
    </row>
    <row r="192">
      <c r="F192" s="37"/>
    </row>
    <row r="193">
      <c r="F193" s="37"/>
    </row>
    <row r="194">
      <c r="F194" s="37"/>
    </row>
    <row r="195">
      <c r="F195" s="37"/>
    </row>
    <row r="196">
      <c r="F196" s="37"/>
    </row>
    <row r="197">
      <c r="F197" s="37"/>
    </row>
    <row r="198">
      <c r="F198" s="37"/>
    </row>
    <row r="199">
      <c r="F199" s="37"/>
    </row>
    <row r="200">
      <c r="F200" s="37"/>
    </row>
    <row r="201">
      <c r="F201" s="37"/>
    </row>
    <row r="202">
      <c r="F202" s="37"/>
    </row>
    <row r="203">
      <c r="F203" s="37"/>
    </row>
    <row r="204">
      <c r="F204" s="37"/>
    </row>
    <row r="205">
      <c r="F205" s="37"/>
    </row>
    <row r="206">
      <c r="F206" s="37"/>
    </row>
    <row r="207">
      <c r="F207" s="37"/>
    </row>
    <row r="208">
      <c r="F208" s="37"/>
    </row>
    <row r="209">
      <c r="F209" s="37"/>
    </row>
    <row r="210">
      <c r="F210" s="37"/>
    </row>
    <row r="211">
      <c r="F211" s="37"/>
    </row>
    <row r="212">
      <c r="F212" s="37"/>
    </row>
    <row r="213">
      <c r="F213" s="37"/>
    </row>
    <row r="214">
      <c r="F214" s="37"/>
    </row>
    <row r="215">
      <c r="F215" s="37"/>
    </row>
    <row r="216">
      <c r="F216" s="37"/>
    </row>
    <row r="217">
      <c r="F217" s="37"/>
    </row>
    <row r="218">
      <c r="F218" s="37"/>
    </row>
    <row r="219">
      <c r="F219" s="37"/>
    </row>
    <row r="220">
      <c r="F220" s="37"/>
    </row>
    <row r="221">
      <c r="F221" s="37"/>
    </row>
    <row r="222">
      <c r="F222" s="37"/>
    </row>
    <row r="223">
      <c r="F223" s="37"/>
    </row>
    <row r="224">
      <c r="F224" s="37"/>
    </row>
    <row r="225">
      <c r="F225" s="37"/>
    </row>
    <row r="226">
      <c r="F226" s="37"/>
    </row>
    <row r="227">
      <c r="F227" s="37"/>
    </row>
    <row r="228">
      <c r="F228" s="37"/>
    </row>
    <row r="229">
      <c r="F229" s="37"/>
    </row>
    <row r="230">
      <c r="F230" s="37"/>
    </row>
    <row r="231">
      <c r="F231" s="37"/>
    </row>
    <row r="232">
      <c r="F232" s="37"/>
    </row>
    <row r="233">
      <c r="F233" s="37"/>
    </row>
    <row r="234">
      <c r="F234" s="37"/>
    </row>
    <row r="235">
      <c r="F235" s="37"/>
    </row>
    <row r="236">
      <c r="F236" s="37"/>
    </row>
    <row r="237">
      <c r="F237" s="37"/>
    </row>
    <row r="238">
      <c r="F238" s="37"/>
    </row>
    <row r="239">
      <c r="F239" s="37"/>
    </row>
    <row r="240">
      <c r="F240" s="37"/>
    </row>
    <row r="241">
      <c r="F241" s="37"/>
    </row>
    <row r="242">
      <c r="F242" s="37"/>
    </row>
    <row r="243">
      <c r="F243" s="37"/>
    </row>
    <row r="244">
      <c r="F244" s="37"/>
    </row>
    <row r="245">
      <c r="F245" s="37"/>
    </row>
    <row r="246">
      <c r="F246" s="37"/>
    </row>
    <row r="247">
      <c r="F247" s="37"/>
    </row>
    <row r="248">
      <c r="F248" s="37"/>
    </row>
    <row r="249">
      <c r="F249" s="37"/>
    </row>
    <row r="250">
      <c r="F250" s="37"/>
    </row>
    <row r="251">
      <c r="F251" s="37"/>
    </row>
    <row r="252">
      <c r="F252" s="37"/>
    </row>
    <row r="253">
      <c r="F253" s="37"/>
    </row>
    <row r="254">
      <c r="F254" s="37"/>
    </row>
    <row r="255">
      <c r="F255" s="37"/>
    </row>
    <row r="256">
      <c r="F256" s="37"/>
    </row>
    <row r="257">
      <c r="F257" s="37"/>
    </row>
    <row r="258">
      <c r="F258" s="37"/>
    </row>
    <row r="259">
      <c r="F259" s="37"/>
    </row>
    <row r="260">
      <c r="F260" s="37"/>
    </row>
    <row r="261">
      <c r="F261" s="37"/>
    </row>
    <row r="262">
      <c r="F262" s="37"/>
    </row>
    <row r="263">
      <c r="F263" s="37"/>
    </row>
    <row r="264">
      <c r="F264" s="37"/>
    </row>
    <row r="265">
      <c r="F265" s="37"/>
    </row>
    <row r="266">
      <c r="F266" s="37"/>
    </row>
    <row r="267">
      <c r="F267" s="37"/>
    </row>
    <row r="268">
      <c r="F268" s="37"/>
    </row>
    <row r="269">
      <c r="F269" s="37"/>
    </row>
    <row r="270">
      <c r="F270" s="37"/>
    </row>
    <row r="271">
      <c r="F271" s="37"/>
    </row>
    <row r="272">
      <c r="F272" s="37"/>
    </row>
    <row r="273">
      <c r="F273" s="37"/>
    </row>
    <row r="274">
      <c r="F274" s="37"/>
    </row>
    <row r="275">
      <c r="F275" s="37"/>
    </row>
    <row r="276">
      <c r="F276" s="37"/>
    </row>
    <row r="277">
      <c r="F277" s="37"/>
    </row>
    <row r="278">
      <c r="F278" s="37"/>
    </row>
    <row r="279">
      <c r="F279" s="37"/>
    </row>
    <row r="280">
      <c r="F280" s="37"/>
    </row>
    <row r="281">
      <c r="F281" s="37"/>
    </row>
    <row r="282">
      <c r="F282" s="37"/>
    </row>
    <row r="283">
      <c r="F283" s="37"/>
    </row>
    <row r="284">
      <c r="F284" s="37"/>
    </row>
    <row r="285">
      <c r="F285" s="37"/>
    </row>
    <row r="286">
      <c r="F286" s="37"/>
    </row>
    <row r="287">
      <c r="F287" s="37"/>
    </row>
    <row r="288">
      <c r="F288" s="37"/>
    </row>
    <row r="289">
      <c r="F289" s="37"/>
    </row>
    <row r="290">
      <c r="F290" s="37"/>
    </row>
    <row r="291">
      <c r="F291" s="37"/>
    </row>
    <row r="292">
      <c r="F292" s="37"/>
    </row>
    <row r="293">
      <c r="F293" s="37"/>
    </row>
    <row r="294">
      <c r="F294" s="37"/>
    </row>
    <row r="295">
      <c r="F295" s="37"/>
    </row>
    <row r="296">
      <c r="F296" s="37"/>
    </row>
    <row r="297">
      <c r="F297" s="37"/>
    </row>
    <row r="298">
      <c r="F298" s="37"/>
    </row>
    <row r="299">
      <c r="F299" s="37"/>
    </row>
    <row r="300">
      <c r="F300" s="37"/>
    </row>
    <row r="301">
      <c r="F301" s="37"/>
    </row>
    <row r="302">
      <c r="F302" s="37"/>
    </row>
    <row r="303">
      <c r="F303" s="37"/>
    </row>
    <row r="304">
      <c r="F304" s="37"/>
    </row>
    <row r="305">
      <c r="F305" s="37"/>
    </row>
    <row r="306">
      <c r="F306" s="37"/>
    </row>
    <row r="307">
      <c r="F307" s="37"/>
    </row>
    <row r="308">
      <c r="F308" s="37"/>
    </row>
    <row r="309">
      <c r="F309" s="37"/>
    </row>
    <row r="310">
      <c r="F310" s="37"/>
    </row>
    <row r="311">
      <c r="F311" s="37"/>
    </row>
    <row r="312">
      <c r="F312" s="37"/>
    </row>
    <row r="313">
      <c r="F313" s="37"/>
    </row>
    <row r="314">
      <c r="F314" s="37"/>
    </row>
    <row r="315">
      <c r="F315" s="37"/>
    </row>
    <row r="316">
      <c r="F316" s="37"/>
    </row>
    <row r="317">
      <c r="F317" s="37"/>
    </row>
    <row r="318">
      <c r="F318" s="37"/>
    </row>
    <row r="319">
      <c r="F319" s="37"/>
    </row>
    <row r="320">
      <c r="F320" s="37"/>
    </row>
    <row r="321">
      <c r="F321" s="37"/>
    </row>
    <row r="322">
      <c r="F322" s="37"/>
    </row>
    <row r="323">
      <c r="F323" s="37"/>
    </row>
    <row r="324">
      <c r="F324" s="37"/>
    </row>
    <row r="325">
      <c r="F325" s="37"/>
    </row>
    <row r="326">
      <c r="F326" s="37"/>
    </row>
    <row r="327">
      <c r="F327" s="37"/>
    </row>
    <row r="328">
      <c r="F328" s="37"/>
    </row>
    <row r="329">
      <c r="F329" s="37"/>
    </row>
    <row r="330">
      <c r="F330" s="37"/>
    </row>
    <row r="331">
      <c r="F331" s="37"/>
    </row>
    <row r="332">
      <c r="F332" s="37"/>
    </row>
    <row r="333">
      <c r="F333" s="37"/>
    </row>
    <row r="334">
      <c r="F334" s="37"/>
    </row>
    <row r="335">
      <c r="F335" s="37"/>
    </row>
    <row r="336">
      <c r="F336" s="37"/>
    </row>
    <row r="337">
      <c r="F337" s="37"/>
    </row>
    <row r="338">
      <c r="F338" s="37"/>
    </row>
    <row r="339">
      <c r="F339" s="37"/>
    </row>
    <row r="340">
      <c r="F340" s="37"/>
    </row>
    <row r="341">
      <c r="F341" s="37"/>
    </row>
    <row r="342">
      <c r="F342" s="37"/>
    </row>
    <row r="343">
      <c r="F343" s="37"/>
    </row>
    <row r="344">
      <c r="F344" s="37"/>
    </row>
    <row r="345">
      <c r="F345" s="37"/>
    </row>
    <row r="346">
      <c r="F346" s="37"/>
    </row>
    <row r="347">
      <c r="F347" s="37"/>
    </row>
    <row r="348">
      <c r="F348" s="37"/>
    </row>
    <row r="349">
      <c r="F349" s="37"/>
    </row>
    <row r="350">
      <c r="F350" s="37"/>
    </row>
    <row r="351">
      <c r="F351" s="37"/>
    </row>
    <row r="352">
      <c r="F352" s="37"/>
    </row>
    <row r="353">
      <c r="F353" s="37"/>
    </row>
    <row r="354">
      <c r="F354" s="37"/>
    </row>
    <row r="355">
      <c r="F355" s="37"/>
    </row>
    <row r="356">
      <c r="F356" s="37"/>
    </row>
    <row r="357">
      <c r="F357" s="37"/>
    </row>
    <row r="358">
      <c r="F358" s="37"/>
    </row>
    <row r="359">
      <c r="F359" s="37"/>
    </row>
    <row r="360">
      <c r="F360" s="37"/>
    </row>
    <row r="361">
      <c r="F361" s="37"/>
    </row>
    <row r="362">
      <c r="F362" s="37"/>
    </row>
    <row r="363">
      <c r="F363" s="37"/>
    </row>
    <row r="364">
      <c r="F364" s="37"/>
    </row>
    <row r="365">
      <c r="F365" s="37"/>
    </row>
    <row r="366">
      <c r="F366" s="37"/>
    </row>
    <row r="367">
      <c r="F367" s="37"/>
    </row>
    <row r="368">
      <c r="F368" s="37"/>
    </row>
    <row r="369">
      <c r="F369" s="37"/>
    </row>
    <row r="370">
      <c r="F370" s="37"/>
    </row>
    <row r="371">
      <c r="F371" s="37"/>
    </row>
    <row r="372">
      <c r="F372" s="37"/>
    </row>
    <row r="373">
      <c r="F373" s="37"/>
    </row>
    <row r="374">
      <c r="F374" s="37"/>
    </row>
    <row r="375">
      <c r="F375" s="37"/>
    </row>
    <row r="376">
      <c r="F376" s="37"/>
    </row>
    <row r="377">
      <c r="F377" s="37"/>
    </row>
    <row r="378">
      <c r="F378" s="37"/>
    </row>
    <row r="379">
      <c r="F379" s="37"/>
    </row>
    <row r="380">
      <c r="F380" s="37"/>
    </row>
    <row r="381">
      <c r="F381" s="37"/>
    </row>
    <row r="382">
      <c r="F382" s="37"/>
    </row>
    <row r="383">
      <c r="F383" s="37"/>
    </row>
    <row r="384">
      <c r="F384" s="37"/>
    </row>
    <row r="385">
      <c r="F385" s="37"/>
    </row>
    <row r="386">
      <c r="F386" s="37"/>
    </row>
    <row r="387">
      <c r="F387" s="37"/>
    </row>
    <row r="388">
      <c r="F388" s="37"/>
    </row>
    <row r="389">
      <c r="F389" s="37"/>
    </row>
    <row r="390">
      <c r="F390" s="37"/>
    </row>
    <row r="391">
      <c r="F391" s="37"/>
    </row>
    <row r="392">
      <c r="F392" s="37"/>
    </row>
    <row r="393">
      <c r="F393" s="37"/>
    </row>
    <row r="394">
      <c r="F394" s="37"/>
    </row>
    <row r="395">
      <c r="F395" s="37"/>
    </row>
    <row r="396">
      <c r="F396" s="37"/>
    </row>
    <row r="397">
      <c r="F397" s="37"/>
    </row>
    <row r="398">
      <c r="F398" s="37"/>
    </row>
    <row r="399">
      <c r="F399" s="37"/>
    </row>
    <row r="400">
      <c r="F400" s="37"/>
    </row>
    <row r="401">
      <c r="F401" s="37"/>
    </row>
    <row r="402">
      <c r="F402" s="37"/>
    </row>
    <row r="403">
      <c r="F403" s="37"/>
    </row>
    <row r="404">
      <c r="F404" s="37"/>
    </row>
    <row r="405">
      <c r="F405" s="37"/>
    </row>
    <row r="406">
      <c r="F406" s="37"/>
    </row>
    <row r="407">
      <c r="F407" s="37"/>
    </row>
    <row r="408">
      <c r="F408" s="37"/>
    </row>
    <row r="409">
      <c r="F409" s="37"/>
    </row>
    <row r="410">
      <c r="F410" s="37"/>
    </row>
    <row r="411">
      <c r="F411" s="37"/>
    </row>
    <row r="412">
      <c r="F412" s="37"/>
    </row>
    <row r="413">
      <c r="F413" s="37"/>
    </row>
    <row r="414">
      <c r="F414" s="37"/>
    </row>
    <row r="415">
      <c r="F415" s="37"/>
    </row>
    <row r="416">
      <c r="F416" s="37"/>
    </row>
    <row r="417">
      <c r="F417" s="37"/>
    </row>
    <row r="418">
      <c r="F418" s="37"/>
    </row>
    <row r="419">
      <c r="F419" s="37"/>
    </row>
    <row r="420">
      <c r="F420" s="37"/>
    </row>
    <row r="421">
      <c r="F421" s="37"/>
    </row>
    <row r="422">
      <c r="F422" s="37"/>
    </row>
    <row r="423">
      <c r="F423" s="37"/>
    </row>
    <row r="424">
      <c r="F424" s="37"/>
    </row>
    <row r="425">
      <c r="F425" s="37"/>
    </row>
    <row r="426">
      <c r="F426" s="37"/>
    </row>
    <row r="427">
      <c r="F427" s="37"/>
    </row>
    <row r="428">
      <c r="F428" s="37"/>
    </row>
    <row r="429">
      <c r="F429" s="37"/>
    </row>
    <row r="430">
      <c r="F430" s="37"/>
    </row>
    <row r="431">
      <c r="F431" s="37"/>
    </row>
    <row r="432">
      <c r="F432" s="37"/>
    </row>
    <row r="433">
      <c r="F433" s="37"/>
    </row>
    <row r="434">
      <c r="F434" s="37"/>
    </row>
    <row r="435">
      <c r="F435" s="37"/>
    </row>
    <row r="436">
      <c r="F436" s="37"/>
    </row>
    <row r="437">
      <c r="F437" s="37"/>
    </row>
    <row r="438">
      <c r="F438" s="37"/>
    </row>
    <row r="439">
      <c r="F439" s="37"/>
    </row>
    <row r="440">
      <c r="F440" s="37"/>
    </row>
    <row r="441">
      <c r="F441" s="37"/>
    </row>
    <row r="442">
      <c r="F442" s="37"/>
    </row>
    <row r="443">
      <c r="F443" s="37"/>
    </row>
    <row r="444">
      <c r="F444" s="37"/>
    </row>
    <row r="445">
      <c r="F445" s="37"/>
    </row>
    <row r="446">
      <c r="F446" s="37"/>
    </row>
    <row r="447">
      <c r="F447" s="37"/>
    </row>
    <row r="448">
      <c r="F448" s="37"/>
    </row>
    <row r="449">
      <c r="F449" s="37"/>
    </row>
    <row r="450">
      <c r="F450" s="37"/>
    </row>
    <row r="451">
      <c r="F451" s="37"/>
    </row>
    <row r="452">
      <c r="F452" s="37"/>
    </row>
    <row r="453">
      <c r="F453" s="37"/>
    </row>
    <row r="454">
      <c r="F454" s="37"/>
    </row>
    <row r="455">
      <c r="F455" s="37"/>
    </row>
    <row r="456">
      <c r="F456" s="37"/>
    </row>
    <row r="457">
      <c r="F457" s="37"/>
    </row>
    <row r="458">
      <c r="F458" s="37"/>
    </row>
    <row r="459">
      <c r="F459" s="37"/>
    </row>
    <row r="460">
      <c r="F460" s="37"/>
    </row>
    <row r="461">
      <c r="F461" s="37"/>
    </row>
    <row r="462">
      <c r="F462" s="37"/>
    </row>
    <row r="463">
      <c r="F463" s="37"/>
    </row>
    <row r="464">
      <c r="F464" s="37"/>
    </row>
    <row r="465">
      <c r="F465" s="37"/>
    </row>
    <row r="466">
      <c r="F466" s="37"/>
    </row>
    <row r="467">
      <c r="F467" s="37"/>
    </row>
    <row r="468">
      <c r="F468" s="37"/>
    </row>
    <row r="469">
      <c r="F469" s="37"/>
    </row>
    <row r="470">
      <c r="F470" s="37"/>
    </row>
    <row r="471">
      <c r="F471" s="37"/>
    </row>
    <row r="472">
      <c r="F472" s="37"/>
    </row>
    <row r="473">
      <c r="F473" s="37"/>
    </row>
    <row r="474">
      <c r="F474" s="37"/>
    </row>
    <row r="475">
      <c r="F475" s="37"/>
    </row>
    <row r="476">
      <c r="F476" s="37"/>
    </row>
    <row r="477">
      <c r="F477" s="37"/>
    </row>
    <row r="478">
      <c r="F478" s="37"/>
    </row>
    <row r="479">
      <c r="F479" s="37"/>
    </row>
    <row r="480">
      <c r="F480" s="37"/>
    </row>
    <row r="481">
      <c r="F481" s="37"/>
    </row>
    <row r="482">
      <c r="F482" s="37"/>
    </row>
    <row r="483">
      <c r="F483" s="37"/>
    </row>
    <row r="484">
      <c r="F484" s="37"/>
    </row>
    <row r="485">
      <c r="F485" s="37"/>
    </row>
    <row r="486">
      <c r="F486" s="37"/>
    </row>
    <row r="487">
      <c r="F487" s="37"/>
    </row>
    <row r="488">
      <c r="F488" s="37"/>
    </row>
    <row r="489">
      <c r="F489" s="37"/>
    </row>
    <row r="490">
      <c r="F490" s="37"/>
    </row>
    <row r="491">
      <c r="F491" s="37"/>
    </row>
    <row r="492">
      <c r="F492" s="37"/>
    </row>
    <row r="493">
      <c r="F493" s="37"/>
    </row>
    <row r="494">
      <c r="F494" s="37"/>
    </row>
    <row r="495">
      <c r="F495" s="37"/>
    </row>
    <row r="496">
      <c r="F496" s="37"/>
    </row>
    <row r="497">
      <c r="F497" s="37"/>
    </row>
    <row r="498">
      <c r="F498" s="37"/>
    </row>
    <row r="499">
      <c r="F499" s="37"/>
    </row>
    <row r="500">
      <c r="F500" s="37"/>
    </row>
    <row r="501">
      <c r="F501" s="37"/>
    </row>
    <row r="502">
      <c r="F502" s="37"/>
    </row>
    <row r="503">
      <c r="F503" s="37"/>
    </row>
    <row r="504">
      <c r="F504" s="37"/>
    </row>
    <row r="505">
      <c r="F505" s="37"/>
    </row>
    <row r="506">
      <c r="F506" s="37"/>
    </row>
    <row r="507">
      <c r="F507" s="37"/>
    </row>
    <row r="508">
      <c r="F508" s="37"/>
    </row>
    <row r="509">
      <c r="F509" s="37"/>
    </row>
    <row r="510">
      <c r="F510" s="37"/>
    </row>
    <row r="511">
      <c r="F511" s="37"/>
    </row>
    <row r="512">
      <c r="F512" s="37"/>
    </row>
    <row r="513">
      <c r="F513" s="37"/>
    </row>
    <row r="514">
      <c r="F514" s="37"/>
    </row>
    <row r="515">
      <c r="F515" s="37"/>
    </row>
    <row r="516">
      <c r="F516" s="37"/>
    </row>
    <row r="517">
      <c r="F517" s="37"/>
    </row>
    <row r="518">
      <c r="F518" s="37"/>
    </row>
    <row r="519">
      <c r="F519" s="37"/>
    </row>
    <row r="520">
      <c r="F520" s="37"/>
    </row>
    <row r="521">
      <c r="F521" s="37"/>
    </row>
    <row r="522">
      <c r="F522" s="37"/>
    </row>
    <row r="523">
      <c r="F523" s="37"/>
    </row>
    <row r="524">
      <c r="F524" s="37"/>
    </row>
    <row r="525">
      <c r="F525" s="37"/>
    </row>
    <row r="526">
      <c r="F526" s="37"/>
    </row>
    <row r="527">
      <c r="F527" s="37"/>
    </row>
    <row r="528">
      <c r="F528" s="37"/>
    </row>
    <row r="529">
      <c r="F529" s="37"/>
    </row>
    <row r="530">
      <c r="F530" s="37"/>
    </row>
    <row r="531">
      <c r="F531" s="37"/>
    </row>
    <row r="532">
      <c r="F532" s="37"/>
    </row>
    <row r="533">
      <c r="F533" s="37"/>
    </row>
    <row r="534">
      <c r="F534" s="37"/>
    </row>
    <row r="535">
      <c r="F535" s="37"/>
    </row>
    <row r="536">
      <c r="F536" s="37"/>
    </row>
    <row r="537">
      <c r="F537" s="37"/>
    </row>
    <row r="538">
      <c r="F538" s="37"/>
    </row>
    <row r="539">
      <c r="F539" s="37"/>
    </row>
    <row r="540">
      <c r="F540" s="37"/>
    </row>
    <row r="541">
      <c r="F541" s="37"/>
    </row>
    <row r="542">
      <c r="F542" s="37"/>
    </row>
    <row r="543">
      <c r="F543" s="37"/>
    </row>
    <row r="544">
      <c r="F544" s="37"/>
    </row>
    <row r="545">
      <c r="F545" s="37"/>
    </row>
    <row r="546">
      <c r="F546" s="37"/>
    </row>
    <row r="547">
      <c r="F547" s="37"/>
    </row>
    <row r="548">
      <c r="F548" s="37"/>
    </row>
    <row r="549">
      <c r="F549" s="37"/>
    </row>
    <row r="550">
      <c r="F550" s="37"/>
    </row>
    <row r="551">
      <c r="F551" s="37"/>
    </row>
    <row r="552">
      <c r="F552" s="37"/>
    </row>
    <row r="553">
      <c r="F553" s="37"/>
    </row>
    <row r="554">
      <c r="F554" s="37"/>
    </row>
    <row r="555">
      <c r="F555" s="37"/>
    </row>
    <row r="556">
      <c r="F556" s="37"/>
    </row>
    <row r="557">
      <c r="F557" s="37"/>
    </row>
    <row r="558">
      <c r="F558" s="37"/>
    </row>
    <row r="559">
      <c r="F559" s="37"/>
    </row>
    <row r="560">
      <c r="F560" s="37"/>
    </row>
    <row r="561">
      <c r="F561" s="37"/>
    </row>
    <row r="562">
      <c r="F562" s="37"/>
    </row>
    <row r="563">
      <c r="F563" s="37"/>
    </row>
    <row r="564">
      <c r="F564" s="37"/>
    </row>
    <row r="565">
      <c r="F565" s="37"/>
    </row>
    <row r="566">
      <c r="F566" s="37"/>
    </row>
    <row r="567">
      <c r="F567" s="37"/>
    </row>
    <row r="568">
      <c r="F568" s="37"/>
    </row>
    <row r="569">
      <c r="F569" s="37"/>
    </row>
    <row r="570">
      <c r="F570" s="37"/>
    </row>
    <row r="571">
      <c r="F571" s="37"/>
    </row>
    <row r="572">
      <c r="F572" s="37"/>
    </row>
    <row r="573">
      <c r="F573" s="37"/>
    </row>
    <row r="574">
      <c r="F574" s="37"/>
    </row>
    <row r="575">
      <c r="F575" s="37"/>
    </row>
    <row r="576">
      <c r="F576" s="37"/>
    </row>
    <row r="577">
      <c r="F577" s="37"/>
    </row>
    <row r="578">
      <c r="F578" s="37"/>
    </row>
    <row r="579">
      <c r="F579" s="37"/>
    </row>
    <row r="580">
      <c r="F580" s="37"/>
    </row>
    <row r="581">
      <c r="F581" s="37"/>
    </row>
    <row r="582">
      <c r="F582" s="37"/>
    </row>
    <row r="583">
      <c r="F583" s="37"/>
    </row>
    <row r="584">
      <c r="F584" s="37"/>
    </row>
    <row r="585">
      <c r="F585" s="37"/>
    </row>
    <row r="586">
      <c r="F586" s="37"/>
    </row>
    <row r="587">
      <c r="F587" s="37"/>
    </row>
    <row r="588">
      <c r="F588" s="37"/>
    </row>
    <row r="589">
      <c r="F589" s="37"/>
    </row>
    <row r="590">
      <c r="F590" s="37"/>
    </row>
    <row r="591">
      <c r="F591" s="37"/>
    </row>
    <row r="592">
      <c r="F592" s="37"/>
    </row>
    <row r="593">
      <c r="F593" s="37"/>
    </row>
    <row r="594">
      <c r="F594" s="37"/>
    </row>
    <row r="595">
      <c r="F595" s="37"/>
    </row>
    <row r="596">
      <c r="F596" s="37"/>
    </row>
    <row r="597">
      <c r="F597" s="37"/>
    </row>
    <row r="598">
      <c r="F598" s="37"/>
    </row>
    <row r="599">
      <c r="F599" s="37"/>
    </row>
    <row r="600">
      <c r="F600" s="37"/>
    </row>
    <row r="601">
      <c r="F601" s="37"/>
    </row>
    <row r="602">
      <c r="F602" s="37"/>
    </row>
    <row r="603">
      <c r="F603" s="37"/>
    </row>
    <row r="604">
      <c r="F604" s="37"/>
    </row>
    <row r="605">
      <c r="F605" s="37"/>
    </row>
    <row r="606">
      <c r="F606" s="37"/>
    </row>
    <row r="607">
      <c r="F607" s="37"/>
    </row>
    <row r="608">
      <c r="F608" s="37"/>
    </row>
    <row r="609">
      <c r="F609" s="37"/>
    </row>
    <row r="610">
      <c r="F610" s="37"/>
    </row>
    <row r="611">
      <c r="F611" s="37"/>
    </row>
    <row r="612">
      <c r="F612" s="37"/>
    </row>
    <row r="613">
      <c r="F613" s="37"/>
    </row>
    <row r="614">
      <c r="F614" s="37"/>
    </row>
    <row r="615">
      <c r="F615" s="37"/>
    </row>
    <row r="616">
      <c r="F616" s="37"/>
    </row>
    <row r="617">
      <c r="F617" s="37"/>
    </row>
    <row r="618">
      <c r="F618" s="37"/>
    </row>
    <row r="619">
      <c r="F619" s="37"/>
    </row>
    <row r="620">
      <c r="F620" s="37"/>
    </row>
    <row r="621">
      <c r="F621" s="37"/>
    </row>
    <row r="622">
      <c r="F622" s="37"/>
    </row>
    <row r="623">
      <c r="F623" s="37"/>
    </row>
    <row r="624">
      <c r="F624" s="37"/>
    </row>
    <row r="625">
      <c r="F625" s="37"/>
    </row>
    <row r="626">
      <c r="F626" s="37"/>
    </row>
    <row r="627">
      <c r="F627" s="37"/>
    </row>
    <row r="628">
      <c r="F628" s="37"/>
    </row>
    <row r="629">
      <c r="F629" s="37"/>
    </row>
    <row r="630">
      <c r="F630" s="37"/>
    </row>
    <row r="631">
      <c r="F631" s="37"/>
    </row>
    <row r="632">
      <c r="F632" s="37"/>
    </row>
    <row r="633">
      <c r="F633" s="37"/>
    </row>
    <row r="634">
      <c r="F634" s="37"/>
    </row>
    <row r="635">
      <c r="F635" s="37"/>
    </row>
    <row r="636">
      <c r="F636" s="37"/>
    </row>
    <row r="637">
      <c r="F637" s="37"/>
    </row>
    <row r="638">
      <c r="F638" s="37"/>
    </row>
    <row r="639">
      <c r="F639" s="37"/>
    </row>
    <row r="640">
      <c r="F640" s="37"/>
    </row>
    <row r="641">
      <c r="F641" s="37"/>
    </row>
    <row r="642">
      <c r="F642" s="37"/>
    </row>
    <row r="643">
      <c r="F643" s="37"/>
    </row>
    <row r="644">
      <c r="F644" s="37"/>
    </row>
    <row r="645">
      <c r="F645" s="37"/>
    </row>
    <row r="646">
      <c r="F646" s="37"/>
    </row>
    <row r="647">
      <c r="F647" s="37"/>
    </row>
    <row r="648">
      <c r="F648" s="37"/>
    </row>
    <row r="649">
      <c r="F649" s="37"/>
    </row>
    <row r="650">
      <c r="F650" s="37"/>
    </row>
    <row r="651">
      <c r="F651" s="37"/>
    </row>
    <row r="652">
      <c r="F652" s="37"/>
    </row>
    <row r="653">
      <c r="F653" s="37"/>
    </row>
    <row r="654">
      <c r="F654" s="37"/>
    </row>
    <row r="655">
      <c r="F655" s="37"/>
    </row>
    <row r="656">
      <c r="F656" s="37"/>
    </row>
    <row r="657">
      <c r="F657" s="37"/>
    </row>
    <row r="658">
      <c r="F658" s="37"/>
    </row>
    <row r="659">
      <c r="F659" s="37"/>
    </row>
    <row r="660">
      <c r="F660" s="37"/>
    </row>
    <row r="661">
      <c r="F661" s="37"/>
    </row>
    <row r="662">
      <c r="F662" s="37"/>
    </row>
    <row r="663">
      <c r="F663" s="37"/>
    </row>
    <row r="664">
      <c r="F664" s="37"/>
    </row>
    <row r="665">
      <c r="F665" s="37"/>
    </row>
    <row r="666">
      <c r="F666" s="37"/>
    </row>
    <row r="667">
      <c r="F667" s="37"/>
    </row>
    <row r="668">
      <c r="F668" s="37"/>
    </row>
    <row r="669">
      <c r="F669" s="37"/>
    </row>
    <row r="670">
      <c r="F670" s="37"/>
    </row>
    <row r="671">
      <c r="F671" s="37"/>
    </row>
    <row r="672">
      <c r="F672" s="37"/>
    </row>
    <row r="673">
      <c r="F673" s="37"/>
    </row>
    <row r="674">
      <c r="F674" s="37"/>
    </row>
    <row r="675">
      <c r="F675" s="37"/>
    </row>
    <row r="676">
      <c r="F676" s="37"/>
    </row>
    <row r="677">
      <c r="F677" s="37"/>
    </row>
    <row r="678">
      <c r="F678" s="37"/>
    </row>
    <row r="679">
      <c r="F679" s="37"/>
    </row>
    <row r="680">
      <c r="F680" s="37"/>
    </row>
    <row r="681">
      <c r="F681" s="37"/>
    </row>
    <row r="682">
      <c r="F682" s="37"/>
    </row>
    <row r="683">
      <c r="F683" s="37"/>
    </row>
    <row r="684">
      <c r="F684" s="37"/>
    </row>
    <row r="685">
      <c r="F685" s="37"/>
    </row>
    <row r="686">
      <c r="F686" s="37"/>
    </row>
    <row r="687">
      <c r="F687" s="37"/>
    </row>
    <row r="688">
      <c r="F688" s="37"/>
    </row>
    <row r="689">
      <c r="F689" s="37"/>
    </row>
    <row r="690">
      <c r="F690" s="37"/>
    </row>
    <row r="691">
      <c r="F691" s="37"/>
    </row>
    <row r="692">
      <c r="F692" s="37"/>
    </row>
    <row r="693">
      <c r="F693" s="37"/>
    </row>
    <row r="694">
      <c r="F694" s="37"/>
    </row>
    <row r="695">
      <c r="F695" s="37"/>
    </row>
    <row r="696">
      <c r="F696" s="37"/>
    </row>
    <row r="697">
      <c r="F697" s="37"/>
    </row>
    <row r="698">
      <c r="F698" s="37"/>
    </row>
    <row r="699">
      <c r="F699" s="37"/>
    </row>
    <row r="700">
      <c r="F700" s="37"/>
    </row>
    <row r="701">
      <c r="F701" s="37"/>
    </row>
    <row r="702">
      <c r="F702" s="37"/>
    </row>
    <row r="703">
      <c r="F703" s="37"/>
    </row>
    <row r="704">
      <c r="F704" s="37"/>
    </row>
    <row r="705">
      <c r="F705" s="37"/>
    </row>
    <row r="706">
      <c r="F706" s="37"/>
    </row>
    <row r="707">
      <c r="F707" s="37"/>
    </row>
    <row r="708">
      <c r="F708" s="37"/>
    </row>
    <row r="709">
      <c r="F709" s="37"/>
    </row>
    <row r="710">
      <c r="F710" s="37"/>
    </row>
    <row r="711">
      <c r="F711" s="37"/>
    </row>
    <row r="712">
      <c r="F712" s="37"/>
    </row>
    <row r="713">
      <c r="F713" s="37"/>
    </row>
    <row r="714">
      <c r="F714" s="37"/>
    </row>
    <row r="715">
      <c r="F715" s="37"/>
    </row>
    <row r="716">
      <c r="F716" s="37"/>
    </row>
    <row r="717">
      <c r="F717" s="37"/>
    </row>
    <row r="718">
      <c r="F718" s="37"/>
    </row>
    <row r="719">
      <c r="F719" s="37"/>
    </row>
    <row r="720">
      <c r="F720" s="37"/>
    </row>
    <row r="721">
      <c r="F721" s="37"/>
    </row>
    <row r="722">
      <c r="F722" s="37"/>
    </row>
    <row r="723">
      <c r="F723" s="37"/>
    </row>
    <row r="724">
      <c r="F724" s="37"/>
    </row>
    <row r="725">
      <c r="F725" s="37"/>
    </row>
    <row r="726">
      <c r="F726" s="37"/>
    </row>
    <row r="727">
      <c r="F727" s="37"/>
    </row>
    <row r="728">
      <c r="F728" s="37"/>
    </row>
    <row r="729">
      <c r="F729" s="37"/>
    </row>
    <row r="730">
      <c r="F730" s="37"/>
    </row>
    <row r="731">
      <c r="F731" s="37"/>
    </row>
    <row r="732">
      <c r="F732" s="37"/>
    </row>
    <row r="733">
      <c r="F733" s="37"/>
    </row>
    <row r="734">
      <c r="F734" s="37"/>
    </row>
    <row r="735">
      <c r="F735" s="37"/>
    </row>
    <row r="736">
      <c r="F736" s="37"/>
    </row>
    <row r="737">
      <c r="F737" s="37"/>
    </row>
    <row r="738">
      <c r="F738" s="37"/>
    </row>
    <row r="739">
      <c r="F739" s="37"/>
    </row>
    <row r="740">
      <c r="F740" s="37"/>
    </row>
    <row r="741">
      <c r="F741" s="37"/>
    </row>
    <row r="742">
      <c r="F742" s="37"/>
    </row>
    <row r="743">
      <c r="F743" s="37"/>
    </row>
    <row r="744">
      <c r="F744" s="37"/>
    </row>
    <row r="745">
      <c r="F745" s="37"/>
    </row>
    <row r="746">
      <c r="F746" s="37"/>
    </row>
    <row r="747">
      <c r="F747" s="37"/>
    </row>
    <row r="748">
      <c r="F748" s="37"/>
    </row>
    <row r="749">
      <c r="F749" s="37"/>
    </row>
    <row r="750">
      <c r="F750" s="37"/>
    </row>
    <row r="751">
      <c r="F751" s="37"/>
    </row>
    <row r="752">
      <c r="F752" s="37"/>
    </row>
    <row r="753">
      <c r="F753" s="37"/>
    </row>
    <row r="754">
      <c r="F754" s="37"/>
    </row>
    <row r="755">
      <c r="F755" s="37"/>
    </row>
    <row r="756">
      <c r="F756" s="37"/>
    </row>
    <row r="757">
      <c r="F757" s="37"/>
    </row>
    <row r="758">
      <c r="F758" s="37"/>
    </row>
    <row r="759">
      <c r="F759" s="37"/>
    </row>
    <row r="760">
      <c r="F760" s="37"/>
    </row>
    <row r="761">
      <c r="F761" s="37"/>
    </row>
    <row r="762">
      <c r="F762" s="37"/>
    </row>
    <row r="763">
      <c r="F763" s="37"/>
    </row>
    <row r="764">
      <c r="F764" s="37"/>
    </row>
    <row r="765">
      <c r="F765" s="37"/>
    </row>
    <row r="766">
      <c r="F766" s="37"/>
    </row>
    <row r="767">
      <c r="F767" s="37"/>
    </row>
    <row r="768">
      <c r="F768" s="37"/>
    </row>
    <row r="769">
      <c r="F769" s="37"/>
    </row>
    <row r="770">
      <c r="F770" s="37"/>
    </row>
    <row r="771">
      <c r="F771" s="37"/>
    </row>
    <row r="772">
      <c r="F772" s="37"/>
    </row>
    <row r="773">
      <c r="F773" s="37"/>
    </row>
    <row r="774">
      <c r="F774" s="37"/>
    </row>
    <row r="775">
      <c r="F775" s="37"/>
    </row>
    <row r="776">
      <c r="F776" s="37"/>
    </row>
    <row r="777">
      <c r="F777" s="37"/>
    </row>
    <row r="778">
      <c r="F778" s="37"/>
    </row>
    <row r="779">
      <c r="F779" s="37"/>
    </row>
    <row r="780">
      <c r="F780" s="37"/>
    </row>
    <row r="781">
      <c r="F781" s="37"/>
    </row>
    <row r="782">
      <c r="F782" s="37"/>
    </row>
    <row r="783">
      <c r="F783" s="37"/>
    </row>
    <row r="784">
      <c r="F784" s="37"/>
    </row>
    <row r="785">
      <c r="F785" s="37"/>
    </row>
    <row r="786">
      <c r="F786" s="37"/>
    </row>
    <row r="787">
      <c r="F787" s="37"/>
    </row>
    <row r="788">
      <c r="F788" s="37"/>
    </row>
    <row r="789">
      <c r="F789" s="37"/>
    </row>
    <row r="790">
      <c r="F790" s="37"/>
    </row>
    <row r="791">
      <c r="F791" s="37"/>
    </row>
    <row r="792">
      <c r="F792" s="37"/>
    </row>
    <row r="793">
      <c r="F793" s="37"/>
    </row>
    <row r="794">
      <c r="F794" s="37"/>
    </row>
    <row r="795">
      <c r="F795" s="37"/>
    </row>
    <row r="796">
      <c r="F796" s="37"/>
    </row>
    <row r="797">
      <c r="F797" s="37"/>
    </row>
    <row r="798">
      <c r="F798" s="37"/>
    </row>
    <row r="799">
      <c r="F799" s="37"/>
    </row>
    <row r="800">
      <c r="F800" s="37"/>
    </row>
    <row r="801">
      <c r="F801" s="37"/>
    </row>
    <row r="802">
      <c r="F802" s="37"/>
    </row>
    <row r="803">
      <c r="F803" s="37"/>
    </row>
    <row r="804">
      <c r="F804" s="37"/>
    </row>
    <row r="805">
      <c r="F805" s="37"/>
    </row>
    <row r="806">
      <c r="F806" s="37"/>
    </row>
    <row r="807">
      <c r="F807" s="37"/>
    </row>
    <row r="808">
      <c r="F808" s="37"/>
    </row>
    <row r="809">
      <c r="F809" s="37"/>
    </row>
    <row r="810">
      <c r="F810" s="37"/>
    </row>
    <row r="811">
      <c r="F811" s="37"/>
    </row>
    <row r="812">
      <c r="F812" s="37"/>
    </row>
    <row r="813">
      <c r="F813" s="37"/>
    </row>
    <row r="814">
      <c r="F814" s="37"/>
    </row>
    <row r="815">
      <c r="F815" s="37"/>
    </row>
    <row r="816">
      <c r="F816" s="37"/>
    </row>
    <row r="817">
      <c r="F817" s="37"/>
    </row>
    <row r="818">
      <c r="F818" s="37"/>
    </row>
    <row r="819">
      <c r="F819" s="37"/>
    </row>
    <row r="820">
      <c r="F820" s="37"/>
    </row>
    <row r="821">
      <c r="F821" s="37"/>
    </row>
    <row r="822">
      <c r="F822" s="37"/>
    </row>
    <row r="823">
      <c r="F823" s="37"/>
    </row>
    <row r="824">
      <c r="F824" s="37"/>
    </row>
    <row r="825">
      <c r="F825" s="37"/>
    </row>
    <row r="826">
      <c r="F826" s="37"/>
    </row>
    <row r="827">
      <c r="F827" s="37"/>
    </row>
    <row r="828">
      <c r="F828" s="37"/>
    </row>
    <row r="829">
      <c r="F829" s="37"/>
    </row>
    <row r="830">
      <c r="F830" s="37"/>
    </row>
    <row r="831">
      <c r="F831" s="37"/>
    </row>
    <row r="832">
      <c r="F832" s="37"/>
    </row>
    <row r="833">
      <c r="F833" s="37"/>
    </row>
    <row r="834">
      <c r="F834" s="37"/>
    </row>
    <row r="835">
      <c r="F835" s="37"/>
    </row>
    <row r="836">
      <c r="F836" s="37"/>
    </row>
    <row r="837">
      <c r="F837" s="37"/>
    </row>
    <row r="838">
      <c r="F838" s="37"/>
    </row>
    <row r="839">
      <c r="F839" s="37"/>
    </row>
    <row r="840">
      <c r="F840" s="37"/>
    </row>
    <row r="841">
      <c r="F841" s="37"/>
    </row>
    <row r="842">
      <c r="F842" s="37"/>
    </row>
    <row r="843">
      <c r="F843" s="37"/>
    </row>
    <row r="844">
      <c r="F844" s="37"/>
    </row>
    <row r="845">
      <c r="F845" s="37"/>
    </row>
    <row r="846">
      <c r="F846" s="37"/>
    </row>
    <row r="847">
      <c r="F847" s="37"/>
    </row>
    <row r="848">
      <c r="F848" s="37"/>
    </row>
    <row r="849">
      <c r="F849" s="37"/>
    </row>
    <row r="850">
      <c r="F850" s="37"/>
    </row>
    <row r="851">
      <c r="F851" s="37"/>
    </row>
    <row r="852">
      <c r="F852" s="37"/>
    </row>
    <row r="853">
      <c r="F853" s="37"/>
    </row>
    <row r="854">
      <c r="F854" s="37"/>
    </row>
    <row r="855">
      <c r="F855" s="37"/>
    </row>
    <row r="856">
      <c r="F856" s="37"/>
    </row>
    <row r="857">
      <c r="F857" s="37"/>
    </row>
    <row r="858">
      <c r="F858" s="37"/>
    </row>
    <row r="859">
      <c r="F859" s="37"/>
    </row>
    <row r="860">
      <c r="F860" s="37"/>
    </row>
    <row r="861">
      <c r="F861" s="37"/>
    </row>
    <row r="862">
      <c r="F862" s="37"/>
    </row>
    <row r="863">
      <c r="F863" s="37"/>
    </row>
    <row r="864">
      <c r="F864" s="37"/>
    </row>
    <row r="865">
      <c r="F865" s="37"/>
    </row>
    <row r="866">
      <c r="F866" s="37"/>
    </row>
    <row r="867">
      <c r="F867" s="37"/>
    </row>
    <row r="868">
      <c r="F868" s="37"/>
    </row>
    <row r="869">
      <c r="F869" s="37"/>
    </row>
    <row r="870">
      <c r="F870" s="37"/>
    </row>
    <row r="871">
      <c r="F871" s="37"/>
    </row>
    <row r="872">
      <c r="F872" s="37"/>
    </row>
    <row r="873">
      <c r="F873" s="37"/>
    </row>
    <row r="874">
      <c r="F874" s="37"/>
    </row>
    <row r="875">
      <c r="F875" s="37"/>
    </row>
    <row r="876">
      <c r="F876" s="37"/>
    </row>
    <row r="877">
      <c r="F877" s="37"/>
    </row>
    <row r="878">
      <c r="F878" s="37"/>
    </row>
    <row r="879">
      <c r="F879" s="37"/>
    </row>
    <row r="880">
      <c r="F880" s="37"/>
    </row>
    <row r="881">
      <c r="F881" s="37"/>
    </row>
    <row r="882">
      <c r="F882" s="37"/>
    </row>
    <row r="883">
      <c r="F883" s="37"/>
    </row>
    <row r="884">
      <c r="F884" s="37"/>
    </row>
    <row r="885">
      <c r="F885" s="37"/>
    </row>
    <row r="886">
      <c r="F886" s="37"/>
    </row>
    <row r="887">
      <c r="F887" s="37"/>
    </row>
    <row r="888">
      <c r="F888" s="37"/>
    </row>
    <row r="889">
      <c r="F889" s="37"/>
    </row>
    <row r="890">
      <c r="F890" s="37"/>
    </row>
    <row r="891">
      <c r="F891" s="37"/>
    </row>
    <row r="892">
      <c r="F892" s="37"/>
    </row>
    <row r="893">
      <c r="F893" s="37"/>
    </row>
    <row r="894">
      <c r="F894" s="37"/>
    </row>
    <row r="895">
      <c r="F895" s="37"/>
    </row>
    <row r="896">
      <c r="F896" s="37"/>
    </row>
    <row r="897">
      <c r="F897" s="37"/>
    </row>
    <row r="898">
      <c r="F898" s="37"/>
    </row>
    <row r="899">
      <c r="F899" s="37"/>
    </row>
    <row r="900">
      <c r="F900" s="37"/>
    </row>
    <row r="901">
      <c r="F901" s="37"/>
    </row>
    <row r="902">
      <c r="F902" s="37"/>
    </row>
    <row r="903">
      <c r="F903" s="37"/>
    </row>
    <row r="904">
      <c r="F904" s="37"/>
    </row>
    <row r="905">
      <c r="F905" s="37"/>
    </row>
    <row r="906">
      <c r="F906" s="37"/>
    </row>
    <row r="907">
      <c r="F907" s="37"/>
    </row>
    <row r="908">
      <c r="F908" s="37"/>
    </row>
    <row r="909">
      <c r="F909" s="37"/>
    </row>
    <row r="910">
      <c r="F910" s="37"/>
    </row>
    <row r="911">
      <c r="F911" s="37"/>
    </row>
    <row r="912">
      <c r="F912" s="37"/>
    </row>
    <row r="913">
      <c r="F913" s="37"/>
    </row>
    <row r="914">
      <c r="F914" s="37"/>
    </row>
    <row r="915">
      <c r="F915" s="37"/>
    </row>
    <row r="916">
      <c r="F916" s="37"/>
    </row>
    <row r="917">
      <c r="F917" s="37"/>
    </row>
    <row r="918">
      <c r="F918" s="37"/>
    </row>
    <row r="919">
      <c r="F919" s="37"/>
    </row>
    <row r="920">
      <c r="F920" s="37"/>
    </row>
    <row r="921">
      <c r="F921" s="37"/>
    </row>
    <row r="922">
      <c r="F922" s="37"/>
    </row>
    <row r="923">
      <c r="F923" s="37"/>
    </row>
    <row r="924">
      <c r="F924" s="37"/>
    </row>
    <row r="925">
      <c r="F925" s="37"/>
    </row>
    <row r="926">
      <c r="F926" s="37"/>
    </row>
    <row r="927">
      <c r="F927" s="37"/>
    </row>
    <row r="928">
      <c r="F928" s="37"/>
    </row>
    <row r="929">
      <c r="F929" s="37"/>
    </row>
    <row r="930">
      <c r="F930" s="37"/>
    </row>
    <row r="931">
      <c r="F931" s="37"/>
    </row>
    <row r="932">
      <c r="F932" s="37"/>
    </row>
    <row r="933">
      <c r="F933" s="37"/>
    </row>
    <row r="934">
      <c r="F934" s="37"/>
    </row>
    <row r="935">
      <c r="F935" s="37"/>
    </row>
    <row r="936">
      <c r="F936" s="37"/>
    </row>
    <row r="937">
      <c r="F937" s="37"/>
    </row>
    <row r="938">
      <c r="F938" s="37"/>
    </row>
    <row r="939">
      <c r="F939" s="37"/>
    </row>
    <row r="940">
      <c r="F940" s="37"/>
    </row>
    <row r="941">
      <c r="F941" s="37"/>
    </row>
    <row r="942">
      <c r="F942" s="37"/>
    </row>
    <row r="943">
      <c r="F943" s="37"/>
    </row>
    <row r="944">
      <c r="F944" s="37"/>
    </row>
    <row r="945">
      <c r="F945" s="37"/>
    </row>
    <row r="946">
      <c r="F946" s="37"/>
    </row>
    <row r="947">
      <c r="F947" s="37"/>
    </row>
    <row r="948">
      <c r="F948" s="37"/>
    </row>
    <row r="949">
      <c r="F949" s="37"/>
    </row>
    <row r="950">
      <c r="F950" s="37"/>
    </row>
    <row r="951">
      <c r="F951" s="37"/>
    </row>
    <row r="952">
      <c r="F952" s="37"/>
    </row>
    <row r="953">
      <c r="F953" s="37"/>
    </row>
    <row r="954">
      <c r="F954" s="37"/>
    </row>
    <row r="955">
      <c r="F955" s="37"/>
    </row>
    <row r="956">
      <c r="F956" s="37"/>
    </row>
    <row r="957">
      <c r="F957" s="37"/>
    </row>
    <row r="958">
      <c r="F958" s="37"/>
    </row>
    <row r="959">
      <c r="F959" s="37"/>
    </row>
    <row r="960">
      <c r="F960" s="37"/>
    </row>
    <row r="961">
      <c r="F961" s="37"/>
    </row>
    <row r="962">
      <c r="F962" s="37"/>
    </row>
    <row r="963">
      <c r="F963" s="37"/>
    </row>
    <row r="964">
      <c r="F964" s="37"/>
    </row>
    <row r="965">
      <c r="F965" s="37"/>
    </row>
    <row r="966">
      <c r="F966" s="37"/>
    </row>
    <row r="967">
      <c r="F967" s="37"/>
    </row>
    <row r="968">
      <c r="F968" s="37"/>
    </row>
    <row r="969">
      <c r="F969" s="37"/>
    </row>
    <row r="970">
      <c r="F970" s="37"/>
    </row>
    <row r="971">
      <c r="F971" s="37"/>
    </row>
    <row r="972">
      <c r="F972" s="37"/>
    </row>
    <row r="973">
      <c r="F973" s="37"/>
    </row>
    <row r="974">
      <c r="F974" s="37"/>
    </row>
    <row r="975">
      <c r="F975" s="37"/>
    </row>
    <row r="976">
      <c r="F976" s="37"/>
    </row>
    <row r="977">
      <c r="F977" s="37"/>
    </row>
    <row r="978">
      <c r="F978" s="37"/>
    </row>
    <row r="979">
      <c r="F979" s="37"/>
    </row>
    <row r="980">
      <c r="F980" s="37"/>
    </row>
    <row r="981">
      <c r="F981" s="37"/>
    </row>
    <row r="982">
      <c r="F982" s="37"/>
    </row>
    <row r="983">
      <c r="F983" s="37"/>
    </row>
    <row r="984">
      <c r="F984" s="37"/>
    </row>
    <row r="985">
      <c r="F985" s="37"/>
    </row>
    <row r="986">
      <c r="F986" s="37"/>
    </row>
    <row r="987">
      <c r="F987" s="37"/>
    </row>
    <row r="988">
      <c r="F988" s="37"/>
    </row>
    <row r="989">
      <c r="F989" s="37"/>
    </row>
    <row r="990">
      <c r="F990" s="37"/>
    </row>
    <row r="991">
      <c r="F991" s="37"/>
    </row>
    <row r="992">
      <c r="F992" s="37"/>
    </row>
    <row r="993">
      <c r="F993" s="37"/>
    </row>
    <row r="994">
      <c r="F994" s="37"/>
    </row>
    <row r="995">
      <c r="F995" s="37"/>
    </row>
    <row r="996">
      <c r="F996" s="37"/>
    </row>
    <row r="997">
      <c r="F997" s="37"/>
    </row>
    <row r="998">
      <c r="F998" s="37"/>
    </row>
    <row r="999">
      <c r="F999" s="37"/>
    </row>
    <row r="1000">
      <c r="F1000" s="37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5" max="5" width="14.25"/>
    <col customWidth="1" min="6" max="6" width="12.88"/>
    <col customWidth="1" min="7" max="7" width="15.0"/>
    <col customWidth="1" min="8" max="8" width="13.38"/>
    <col customWidth="1" min="10" max="10" width="15.25"/>
    <col customWidth="1" min="17" max="17" width="16.38"/>
    <col customWidth="1" min="18" max="18" width="14.75"/>
  </cols>
  <sheetData>
    <row r="1">
      <c r="A1" s="38" t="s">
        <v>29</v>
      </c>
      <c r="C1" s="39"/>
    </row>
    <row r="2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</row>
    <row r="3">
      <c r="A3" s="29" t="s">
        <v>30</v>
      </c>
      <c r="B3" s="29" t="s">
        <v>31</v>
      </c>
      <c r="C3" s="29" t="s">
        <v>2</v>
      </c>
      <c r="D3" s="29" t="s">
        <v>32</v>
      </c>
      <c r="E3" s="29" t="s">
        <v>33</v>
      </c>
      <c r="F3" s="29" t="s">
        <v>34</v>
      </c>
      <c r="G3" s="29" t="s">
        <v>4</v>
      </c>
      <c r="H3" s="29" t="s">
        <v>35</v>
      </c>
      <c r="I3" s="29" t="s">
        <v>36</v>
      </c>
      <c r="J3" s="29" t="s">
        <v>9</v>
      </c>
      <c r="K3" s="29" t="s">
        <v>10</v>
      </c>
      <c r="L3" s="29" t="s">
        <v>12</v>
      </c>
      <c r="N3" s="32"/>
      <c r="O3" s="32"/>
    </row>
    <row r="4">
      <c r="A4" s="33">
        <v>1.0</v>
      </c>
      <c r="B4" s="33" t="s">
        <v>13</v>
      </c>
      <c r="C4" s="40">
        <v>37.0</v>
      </c>
      <c r="D4" s="41">
        <v>68435.0</v>
      </c>
      <c r="E4" s="40">
        <v>601.3157894736842</v>
      </c>
      <c r="F4" s="42">
        <f>D4+E4+O4</f>
        <v>69036.31579</v>
      </c>
      <c r="G4" s="42">
        <f t="shared" ref="G4:G5" si="1">iferror(F4/C4,0)</f>
        <v>1865.846373</v>
      </c>
      <c r="J4" s="42">
        <f t="shared" ref="J4:J5" si="2">iferror(H4/I4,0)</f>
        <v>0</v>
      </c>
      <c r="N4" s="32"/>
      <c r="O4" s="32"/>
    </row>
    <row r="5">
      <c r="A5" s="33">
        <v>2.0</v>
      </c>
      <c r="B5" s="33" t="s">
        <v>37</v>
      </c>
      <c r="C5" s="40">
        <v>2.0</v>
      </c>
      <c r="D5" s="41">
        <v>1200.0</v>
      </c>
      <c r="E5" s="40">
        <v>10.526315789473685</v>
      </c>
      <c r="F5" s="42">
        <f>D5+E5</f>
        <v>1210.526316</v>
      </c>
      <c r="G5" s="42">
        <f t="shared" si="1"/>
        <v>605.2631579</v>
      </c>
      <c r="J5" s="42">
        <f t="shared" si="2"/>
        <v>0</v>
      </c>
      <c r="K5" s="42">
        <f>(J5-G5)*I5</f>
        <v>0</v>
      </c>
      <c r="L5" s="42">
        <f>C5-I5</f>
        <v>2</v>
      </c>
      <c r="N5" s="32"/>
      <c r="O5" s="32"/>
    </row>
    <row r="6">
      <c r="C6" s="39"/>
    </row>
    <row r="7">
      <c r="C7" s="39"/>
    </row>
    <row r="8">
      <c r="C8" s="39"/>
    </row>
    <row r="9">
      <c r="C9" s="39"/>
    </row>
    <row r="10">
      <c r="C10" s="39"/>
    </row>
    <row r="11">
      <c r="C11" s="39"/>
    </row>
    <row r="12">
      <c r="C12" s="39"/>
    </row>
    <row r="13">
      <c r="C13" s="39"/>
    </row>
    <row r="14">
      <c r="C14" s="39"/>
    </row>
    <row r="15">
      <c r="C15" s="39"/>
    </row>
    <row r="16">
      <c r="C16" s="39"/>
    </row>
    <row r="17">
      <c r="C17" s="39"/>
    </row>
    <row r="18">
      <c r="C18" s="39"/>
    </row>
    <row r="19">
      <c r="C19" s="39"/>
    </row>
    <row r="20">
      <c r="C20" s="39"/>
    </row>
    <row r="21">
      <c r="C21" s="39"/>
    </row>
    <row r="22">
      <c r="C22" s="39"/>
    </row>
    <row r="23">
      <c r="C23" s="39"/>
    </row>
    <row r="24">
      <c r="C24" s="39"/>
    </row>
    <row r="25">
      <c r="C25" s="39"/>
    </row>
    <row r="26">
      <c r="C26" s="39"/>
    </row>
    <row r="27">
      <c r="C27" s="39"/>
    </row>
    <row r="28">
      <c r="C28" s="39"/>
    </row>
    <row r="29">
      <c r="C29" s="39"/>
    </row>
    <row r="30">
      <c r="C30" s="39"/>
    </row>
    <row r="31">
      <c r="C31" s="39"/>
    </row>
    <row r="32">
      <c r="C32" s="39"/>
    </row>
    <row r="33">
      <c r="C33" s="39"/>
    </row>
    <row r="34">
      <c r="C34" s="39"/>
    </row>
    <row r="35">
      <c r="C35" s="39"/>
    </row>
    <row r="36">
      <c r="C36" s="39"/>
    </row>
    <row r="37">
      <c r="C37" s="39"/>
    </row>
    <row r="38">
      <c r="C38" s="39"/>
    </row>
    <row r="39">
      <c r="C39" s="39"/>
    </row>
    <row r="40">
      <c r="C40" s="39"/>
    </row>
    <row r="41">
      <c r="C41" s="39"/>
    </row>
    <row r="42">
      <c r="C42" s="39"/>
    </row>
    <row r="43">
      <c r="C43" s="39"/>
    </row>
    <row r="44">
      <c r="C44" s="39"/>
    </row>
    <row r="45">
      <c r="C45" s="39"/>
    </row>
    <row r="46">
      <c r="C46" s="39"/>
    </row>
    <row r="47">
      <c r="C47" s="39"/>
    </row>
    <row r="48">
      <c r="C48" s="39"/>
    </row>
    <row r="49">
      <c r="C49" s="39"/>
    </row>
    <row r="50">
      <c r="C50" s="39"/>
    </row>
    <row r="51">
      <c r="C51" s="39"/>
    </row>
    <row r="52">
      <c r="C52" s="39"/>
    </row>
    <row r="53">
      <c r="C53" s="39"/>
    </row>
    <row r="54">
      <c r="C54" s="39"/>
    </row>
    <row r="55">
      <c r="C55" s="39"/>
    </row>
    <row r="56">
      <c r="C56" s="39"/>
    </row>
    <row r="57">
      <c r="C57" s="39"/>
    </row>
    <row r="58">
      <c r="C58" s="39"/>
    </row>
    <row r="59">
      <c r="C59" s="39"/>
    </row>
    <row r="60">
      <c r="C60" s="39"/>
    </row>
    <row r="61">
      <c r="C61" s="39"/>
    </row>
    <row r="62">
      <c r="C62" s="39"/>
    </row>
    <row r="63">
      <c r="C63" s="39"/>
    </row>
    <row r="64">
      <c r="C64" s="39"/>
    </row>
    <row r="65">
      <c r="C65" s="39"/>
    </row>
    <row r="66">
      <c r="C66" s="39"/>
    </row>
    <row r="67">
      <c r="C67" s="39"/>
    </row>
    <row r="68">
      <c r="C68" s="39"/>
    </row>
    <row r="69">
      <c r="C69" s="39"/>
    </row>
    <row r="70">
      <c r="C70" s="39"/>
    </row>
    <row r="71">
      <c r="C71" s="39"/>
    </row>
    <row r="72">
      <c r="C72" s="39"/>
    </row>
    <row r="73">
      <c r="C73" s="39"/>
    </row>
    <row r="74">
      <c r="C74" s="39"/>
    </row>
    <row r="75">
      <c r="C75" s="39"/>
    </row>
    <row r="76">
      <c r="C76" s="39"/>
    </row>
    <row r="77">
      <c r="C77" s="39"/>
    </row>
    <row r="78">
      <c r="C78" s="39"/>
    </row>
    <row r="79">
      <c r="C79" s="39"/>
    </row>
    <row r="80">
      <c r="C80" s="39"/>
    </row>
    <row r="81">
      <c r="C81" s="39"/>
    </row>
    <row r="82">
      <c r="C82" s="39"/>
    </row>
    <row r="83">
      <c r="C83" s="39"/>
    </row>
    <row r="84">
      <c r="C84" s="39"/>
    </row>
    <row r="85">
      <c r="C85" s="39"/>
    </row>
    <row r="86">
      <c r="C86" s="39"/>
    </row>
    <row r="87">
      <c r="C87" s="39"/>
    </row>
    <row r="88">
      <c r="C88" s="39"/>
    </row>
    <row r="89">
      <c r="C89" s="39"/>
    </row>
    <row r="90">
      <c r="C90" s="39"/>
    </row>
    <row r="91">
      <c r="C91" s="39"/>
    </row>
    <row r="92">
      <c r="C92" s="39"/>
    </row>
    <row r="93">
      <c r="C93" s="39"/>
    </row>
    <row r="94">
      <c r="C94" s="39"/>
    </row>
    <row r="95">
      <c r="C95" s="39"/>
    </row>
    <row r="96">
      <c r="C96" s="39"/>
    </row>
    <row r="97">
      <c r="C97" s="39"/>
    </row>
    <row r="98">
      <c r="C98" s="39"/>
    </row>
    <row r="99">
      <c r="C99" s="39"/>
    </row>
    <row r="100">
      <c r="C100" s="39"/>
    </row>
    <row r="101">
      <c r="C101" s="39"/>
    </row>
    <row r="102">
      <c r="C102" s="39"/>
    </row>
    <row r="103">
      <c r="C103" s="39"/>
    </row>
    <row r="104">
      <c r="C104" s="39"/>
    </row>
    <row r="105">
      <c r="C105" s="39"/>
    </row>
    <row r="106">
      <c r="C106" s="39"/>
    </row>
    <row r="107">
      <c r="C107" s="39"/>
    </row>
    <row r="108">
      <c r="C108" s="39"/>
    </row>
    <row r="109">
      <c r="C109" s="39"/>
    </row>
    <row r="110">
      <c r="C110" s="39"/>
    </row>
    <row r="111">
      <c r="C111" s="39"/>
    </row>
    <row r="112">
      <c r="C112" s="39"/>
    </row>
    <row r="113">
      <c r="C113" s="39"/>
    </row>
    <row r="114">
      <c r="C114" s="39"/>
    </row>
    <row r="115">
      <c r="C115" s="39"/>
    </row>
    <row r="116">
      <c r="C116" s="39"/>
    </row>
    <row r="117">
      <c r="C117" s="39"/>
    </row>
    <row r="118">
      <c r="C118" s="39"/>
    </row>
    <row r="119">
      <c r="C119" s="39"/>
    </row>
    <row r="120">
      <c r="C120" s="39"/>
    </row>
    <row r="121">
      <c r="C121" s="39"/>
    </row>
    <row r="122">
      <c r="C122" s="39"/>
    </row>
    <row r="123">
      <c r="C123" s="39"/>
    </row>
    <row r="124">
      <c r="C124" s="39"/>
    </row>
    <row r="125">
      <c r="C125" s="39"/>
    </row>
    <row r="126">
      <c r="C126" s="39"/>
    </row>
    <row r="127">
      <c r="C127" s="39"/>
    </row>
    <row r="128">
      <c r="C128" s="39"/>
    </row>
    <row r="129">
      <c r="C129" s="39"/>
    </row>
    <row r="130">
      <c r="C130" s="39"/>
    </row>
    <row r="131">
      <c r="C131" s="39"/>
    </row>
    <row r="132">
      <c r="C132" s="39"/>
    </row>
    <row r="133">
      <c r="C133" s="39"/>
    </row>
    <row r="134">
      <c r="C134" s="39"/>
    </row>
    <row r="135">
      <c r="C135" s="39"/>
    </row>
    <row r="136">
      <c r="C136" s="39"/>
    </row>
    <row r="137">
      <c r="C137" s="39"/>
    </row>
    <row r="138">
      <c r="C138" s="39"/>
    </row>
    <row r="139">
      <c r="C139" s="39"/>
    </row>
    <row r="140">
      <c r="C140" s="39"/>
    </row>
    <row r="141">
      <c r="C141" s="39"/>
    </row>
    <row r="142">
      <c r="C142" s="39"/>
    </row>
    <row r="143">
      <c r="C143" s="39"/>
    </row>
    <row r="144">
      <c r="C144" s="39"/>
    </row>
    <row r="145">
      <c r="C145" s="39"/>
    </row>
    <row r="146">
      <c r="C146" s="39"/>
    </row>
    <row r="147">
      <c r="C147" s="39"/>
    </row>
    <row r="148">
      <c r="C148" s="39"/>
    </row>
    <row r="149">
      <c r="C149" s="39"/>
    </row>
    <row r="150">
      <c r="C150" s="39"/>
    </row>
    <row r="151">
      <c r="C151" s="39"/>
    </row>
    <row r="152">
      <c r="C152" s="39"/>
    </row>
    <row r="153">
      <c r="C153" s="39"/>
    </row>
    <row r="154">
      <c r="C154" s="39"/>
    </row>
    <row r="155">
      <c r="C155" s="39"/>
    </row>
    <row r="156">
      <c r="C156" s="39"/>
    </row>
    <row r="157">
      <c r="C157" s="39"/>
    </row>
    <row r="158">
      <c r="C158" s="39"/>
    </row>
    <row r="159">
      <c r="C159" s="39"/>
    </row>
    <row r="160">
      <c r="C160" s="39"/>
    </row>
    <row r="161">
      <c r="C161" s="39"/>
    </row>
    <row r="162">
      <c r="C162" s="39"/>
    </row>
    <row r="163">
      <c r="C163" s="39"/>
    </row>
    <row r="164">
      <c r="C164" s="39"/>
    </row>
    <row r="165">
      <c r="C165" s="39"/>
    </row>
    <row r="166">
      <c r="C166" s="39"/>
    </row>
    <row r="167">
      <c r="C167" s="39"/>
    </row>
    <row r="168">
      <c r="C168" s="39"/>
    </row>
    <row r="169">
      <c r="C169" s="39"/>
    </row>
    <row r="170">
      <c r="C170" s="39"/>
    </row>
    <row r="171">
      <c r="C171" s="39"/>
    </row>
    <row r="172">
      <c r="C172" s="39"/>
    </row>
    <row r="173">
      <c r="C173" s="39"/>
    </row>
    <row r="174">
      <c r="C174" s="39"/>
    </row>
    <row r="175">
      <c r="C175" s="39"/>
    </row>
    <row r="176">
      <c r="C176" s="39"/>
    </row>
    <row r="177">
      <c r="C177" s="39"/>
    </row>
    <row r="178">
      <c r="C178" s="39"/>
    </row>
    <row r="179">
      <c r="C179" s="39"/>
    </row>
    <row r="180">
      <c r="C180" s="39"/>
    </row>
    <row r="181">
      <c r="C181" s="39"/>
    </row>
    <row r="182">
      <c r="C182" s="39"/>
    </row>
    <row r="183">
      <c r="C183" s="39"/>
    </row>
    <row r="184">
      <c r="C184" s="39"/>
    </row>
    <row r="185">
      <c r="C185" s="39"/>
    </row>
    <row r="186">
      <c r="C186" s="39"/>
    </row>
    <row r="187">
      <c r="C187" s="39"/>
    </row>
    <row r="188">
      <c r="C188" s="39"/>
    </row>
    <row r="189">
      <c r="C189" s="39"/>
    </row>
    <row r="190">
      <c r="C190" s="39"/>
    </row>
    <row r="191">
      <c r="C191" s="39"/>
    </row>
    <row r="192">
      <c r="C192" s="39"/>
    </row>
    <row r="193">
      <c r="C193" s="39"/>
    </row>
    <row r="194">
      <c r="C194" s="39"/>
    </row>
    <row r="195">
      <c r="C195" s="39"/>
    </row>
    <row r="196">
      <c r="C196" s="39"/>
    </row>
    <row r="197">
      <c r="C197" s="39"/>
    </row>
    <row r="198">
      <c r="C198" s="39"/>
    </row>
    <row r="199">
      <c r="C199" s="39"/>
    </row>
    <row r="200">
      <c r="C200" s="39"/>
    </row>
    <row r="201">
      <c r="C201" s="39"/>
    </row>
    <row r="202">
      <c r="C202" s="39"/>
    </row>
    <row r="203">
      <c r="C203" s="39"/>
    </row>
    <row r="204">
      <c r="C204" s="39"/>
    </row>
    <row r="205">
      <c r="C205" s="39"/>
    </row>
    <row r="206">
      <c r="C206" s="39"/>
    </row>
    <row r="207">
      <c r="C207" s="39"/>
    </row>
    <row r="208">
      <c r="C208" s="39"/>
    </row>
    <row r="209">
      <c r="C209" s="39"/>
    </row>
    <row r="210">
      <c r="C210" s="39"/>
    </row>
    <row r="211">
      <c r="C211" s="39"/>
    </row>
    <row r="212">
      <c r="C212" s="39"/>
    </row>
    <row r="213">
      <c r="C213" s="39"/>
    </row>
    <row r="214">
      <c r="C214" s="39"/>
    </row>
    <row r="215">
      <c r="C215" s="39"/>
    </row>
    <row r="216">
      <c r="C216" s="39"/>
    </row>
    <row r="217">
      <c r="C217" s="39"/>
    </row>
    <row r="218">
      <c r="C218" s="39"/>
    </row>
    <row r="219">
      <c r="C219" s="39"/>
    </row>
    <row r="220">
      <c r="C220" s="39"/>
    </row>
    <row r="221">
      <c r="C221" s="39"/>
    </row>
    <row r="222">
      <c r="C222" s="39"/>
    </row>
    <row r="223">
      <c r="C223" s="39"/>
    </row>
    <row r="224">
      <c r="C224" s="39"/>
    </row>
    <row r="225">
      <c r="C225" s="39"/>
    </row>
    <row r="226">
      <c r="C226" s="39"/>
    </row>
    <row r="227">
      <c r="C227" s="39"/>
    </row>
    <row r="228">
      <c r="C228" s="39"/>
    </row>
    <row r="229">
      <c r="C229" s="39"/>
    </row>
    <row r="230">
      <c r="C230" s="39"/>
    </row>
    <row r="231">
      <c r="C231" s="39"/>
    </row>
    <row r="232">
      <c r="C232" s="39"/>
    </row>
    <row r="233">
      <c r="C233" s="39"/>
    </row>
    <row r="234">
      <c r="C234" s="39"/>
    </row>
    <row r="235">
      <c r="C235" s="39"/>
    </row>
    <row r="236">
      <c r="C236" s="39"/>
    </row>
    <row r="237">
      <c r="C237" s="39"/>
    </row>
    <row r="238">
      <c r="C238" s="39"/>
    </row>
    <row r="239">
      <c r="C239" s="39"/>
    </row>
    <row r="240">
      <c r="C240" s="39"/>
    </row>
    <row r="241">
      <c r="C241" s="39"/>
    </row>
    <row r="242">
      <c r="C242" s="39"/>
    </row>
    <row r="243">
      <c r="C243" s="39"/>
    </row>
    <row r="244">
      <c r="C244" s="39"/>
    </row>
    <row r="245">
      <c r="C245" s="39"/>
    </row>
    <row r="246">
      <c r="C246" s="39"/>
    </row>
    <row r="247">
      <c r="C247" s="39"/>
    </row>
    <row r="248">
      <c r="C248" s="39"/>
    </row>
    <row r="249">
      <c r="C249" s="39"/>
    </row>
    <row r="250">
      <c r="C250" s="39"/>
    </row>
    <row r="251">
      <c r="C251" s="39"/>
    </row>
    <row r="252">
      <c r="C252" s="39"/>
    </row>
    <row r="253">
      <c r="C253" s="39"/>
    </row>
    <row r="254">
      <c r="C254" s="39"/>
    </row>
    <row r="255">
      <c r="C255" s="39"/>
    </row>
    <row r="256">
      <c r="C256" s="39"/>
    </row>
    <row r="257">
      <c r="C257" s="39"/>
    </row>
    <row r="258">
      <c r="C258" s="39"/>
    </row>
    <row r="259">
      <c r="C259" s="39"/>
    </row>
    <row r="260">
      <c r="C260" s="39"/>
    </row>
    <row r="261">
      <c r="C261" s="39"/>
    </row>
    <row r="262">
      <c r="C262" s="39"/>
    </row>
    <row r="263">
      <c r="C263" s="39"/>
    </row>
    <row r="264">
      <c r="C264" s="39"/>
    </row>
    <row r="265">
      <c r="C265" s="39"/>
    </row>
    <row r="266">
      <c r="C266" s="39"/>
    </row>
    <row r="267">
      <c r="C267" s="39"/>
    </row>
    <row r="268">
      <c r="C268" s="39"/>
    </row>
    <row r="269">
      <c r="C269" s="39"/>
    </row>
    <row r="270">
      <c r="C270" s="39"/>
    </row>
    <row r="271">
      <c r="C271" s="39"/>
    </row>
    <row r="272">
      <c r="C272" s="39"/>
    </row>
    <row r="273">
      <c r="C273" s="39"/>
    </row>
    <row r="274">
      <c r="C274" s="39"/>
    </row>
    <row r="275">
      <c r="C275" s="39"/>
    </row>
    <row r="276">
      <c r="C276" s="39"/>
    </row>
    <row r="277">
      <c r="C277" s="39"/>
    </row>
    <row r="278">
      <c r="C278" s="39"/>
    </row>
    <row r="279">
      <c r="C279" s="39"/>
    </row>
    <row r="280">
      <c r="C280" s="39"/>
    </row>
    <row r="281">
      <c r="C281" s="39"/>
    </row>
    <row r="282">
      <c r="C282" s="39"/>
    </row>
    <row r="283">
      <c r="C283" s="39"/>
    </row>
    <row r="284">
      <c r="C284" s="39"/>
    </row>
    <row r="285">
      <c r="C285" s="39"/>
    </row>
    <row r="286">
      <c r="C286" s="39"/>
    </row>
    <row r="287">
      <c r="C287" s="39"/>
    </row>
    <row r="288">
      <c r="C288" s="39"/>
    </row>
    <row r="289">
      <c r="C289" s="39"/>
    </row>
    <row r="290">
      <c r="C290" s="39"/>
    </row>
    <row r="291">
      <c r="C291" s="39"/>
    </row>
    <row r="292">
      <c r="C292" s="39"/>
    </row>
    <row r="293">
      <c r="C293" s="39"/>
    </row>
    <row r="294">
      <c r="C294" s="39"/>
    </row>
    <row r="295">
      <c r="C295" s="39"/>
    </row>
    <row r="296">
      <c r="C296" s="39"/>
    </row>
    <row r="297">
      <c r="C297" s="39"/>
    </row>
    <row r="298">
      <c r="C298" s="39"/>
    </row>
    <row r="299">
      <c r="C299" s="39"/>
    </row>
    <row r="300">
      <c r="C300" s="39"/>
    </row>
    <row r="301">
      <c r="C301" s="39"/>
    </row>
    <row r="302">
      <c r="C302" s="39"/>
    </row>
    <row r="303">
      <c r="C303" s="39"/>
    </row>
    <row r="304">
      <c r="C304" s="39"/>
    </row>
    <row r="305">
      <c r="C305" s="39"/>
    </row>
    <row r="306">
      <c r="C306" s="39"/>
    </row>
    <row r="307">
      <c r="C307" s="39"/>
    </row>
    <row r="308">
      <c r="C308" s="39"/>
    </row>
    <row r="309">
      <c r="C309" s="39"/>
    </row>
    <row r="310">
      <c r="C310" s="39"/>
    </row>
    <row r="311">
      <c r="C311" s="39"/>
    </row>
    <row r="312">
      <c r="C312" s="39"/>
    </row>
    <row r="313">
      <c r="C313" s="39"/>
    </row>
    <row r="314">
      <c r="C314" s="39"/>
    </row>
    <row r="315">
      <c r="C315" s="39"/>
    </row>
    <row r="316">
      <c r="C316" s="39"/>
    </row>
    <row r="317">
      <c r="C317" s="39"/>
    </row>
    <row r="318">
      <c r="C318" s="39"/>
    </row>
    <row r="319">
      <c r="C319" s="39"/>
    </row>
    <row r="320">
      <c r="C320" s="39"/>
    </row>
    <row r="321">
      <c r="C321" s="39"/>
    </row>
    <row r="322">
      <c r="C322" s="39"/>
    </row>
    <row r="323">
      <c r="C323" s="39"/>
    </row>
    <row r="324">
      <c r="C324" s="39"/>
    </row>
    <row r="325">
      <c r="C325" s="39"/>
    </row>
    <row r="326">
      <c r="C326" s="39"/>
    </row>
    <row r="327">
      <c r="C327" s="39"/>
    </row>
    <row r="328">
      <c r="C328" s="39"/>
    </row>
    <row r="329">
      <c r="C329" s="39"/>
    </row>
    <row r="330">
      <c r="C330" s="39"/>
    </row>
    <row r="331">
      <c r="C331" s="39"/>
    </row>
    <row r="332">
      <c r="C332" s="39"/>
    </row>
    <row r="333">
      <c r="C333" s="39"/>
    </row>
    <row r="334">
      <c r="C334" s="39"/>
    </row>
    <row r="335">
      <c r="C335" s="39"/>
    </row>
    <row r="336">
      <c r="C336" s="39"/>
    </row>
    <row r="337">
      <c r="C337" s="39"/>
    </row>
    <row r="338">
      <c r="C338" s="39"/>
    </row>
    <row r="339">
      <c r="C339" s="39"/>
    </row>
    <row r="340">
      <c r="C340" s="39"/>
    </row>
    <row r="341">
      <c r="C341" s="39"/>
    </row>
    <row r="342">
      <c r="C342" s="39"/>
    </row>
    <row r="343">
      <c r="C343" s="39"/>
    </row>
    <row r="344">
      <c r="C344" s="39"/>
    </row>
    <row r="345">
      <c r="C345" s="39"/>
    </row>
    <row r="346">
      <c r="C346" s="39"/>
    </row>
    <row r="347">
      <c r="C347" s="39"/>
    </row>
    <row r="348">
      <c r="C348" s="39"/>
    </row>
    <row r="349">
      <c r="C349" s="39"/>
    </row>
    <row r="350">
      <c r="C350" s="39"/>
    </row>
    <row r="351">
      <c r="C351" s="39"/>
    </row>
    <row r="352">
      <c r="C352" s="39"/>
    </row>
    <row r="353">
      <c r="C353" s="39"/>
    </row>
    <row r="354">
      <c r="C354" s="39"/>
    </row>
    <row r="355">
      <c r="C355" s="39"/>
    </row>
    <row r="356">
      <c r="C356" s="39"/>
    </row>
    <row r="357">
      <c r="C357" s="39"/>
    </row>
    <row r="358">
      <c r="C358" s="39"/>
    </row>
    <row r="359">
      <c r="C359" s="39"/>
    </row>
    <row r="360">
      <c r="C360" s="39"/>
    </row>
    <row r="361">
      <c r="C361" s="39"/>
    </row>
    <row r="362">
      <c r="C362" s="39"/>
    </row>
    <row r="363">
      <c r="C363" s="39"/>
    </row>
    <row r="364">
      <c r="C364" s="39"/>
    </row>
    <row r="365">
      <c r="C365" s="39"/>
    </row>
    <row r="366">
      <c r="C366" s="39"/>
    </row>
    <row r="367">
      <c r="C367" s="39"/>
    </row>
    <row r="368">
      <c r="C368" s="39"/>
    </row>
    <row r="369">
      <c r="C369" s="39"/>
    </row>
    <row r="370">
      <c r="C370" s="39"/>
    </row>
    <row r="371">
      <c r="C371" s="39"/>
    </row>
    <row r="372">
      <c r="C372" s="39"/>
    </row>
    <row r="373">
      <c r="C373" s="39"/>
    </row>
    <row r="374">
      <c r="C374" s="39"/>
    </row>
    <row r="375">
      <c r="C375" s="39"/>
    </row>
    <row r="376">
      <c r="C376" s="39"/>
    </row>
    <row r="377">
      <c r="C377" s="39"/>
    </row>
    <row r="378">
      <c r="C378" s="39"/>
    </row>
    <row r="379">
      <c r="C379" s="39"/>
    </row>
    <row r="380">
      <c r="C380" s="39"/>
    </row>
    <row r="381">
      <c r="C381" s="39"/>
    </row>
    <row r="382">
      <c r="C382" s="39"/>
    </row>
    <row r="383">
      <c r="C383" s="39"/>
    </row>
    <row r="384">
      <c r="C384" s="39"/>
    </row>
    <row r="385">
      <c r="C385" s="39"/>
    </row>
    <row r="386">
      <c r="C386" s="39"/>
    </row>
    <row r="387">
      <c r="C387" s="39"/>
    </row>
    <row r="388">
      <c r="C388" s="39"/>
    </row>
    <row r="389">
      <c r="C389" s="39"/>
    </row>
    <row r="390">
      <c r="C390" s="39"/>
    </row>
    <row r="391">
      <c r="C391" s="39"/>
    </row>
    <row r="392">
      <c r="C392" s="39"/>
    </row>
    <row r="393">
      <c r="C393" s="39"/>
    </row>
    <row r="394">
      <c r="C394" s="39"/>
    </row>
    <row r="395">
      <c r="C395" s="39"/>
    </row>
    <row r="396">
      <c r="C396" s="39"/>
    </row>
    <row r="397">
      <c r="C397" s="39"/>
    </row>
    <row r="398">
      <c r="C398" s="39"/>
    </row>
    <row r="399">
      <c r="C399" s="39"/>
    </row>
    <row r="400">
      <c r="C400" s="39"/>
    </row>
    <row r="401">
      <c r="C401" s="39"/>
    </row>
    <row r="402">
      <c r="C402" s="39"/>
    </row>
    <row r="403">
      <c r="C403" s="39"/>
    </row>
    <row r="404">
      <c r="C404" s="39"/>
    </row>
    <row r="405">
      <c r="C405" s="39"/>
    </row>
    <row r="406">
      <c r="C406" s="39"/>
    </row>
    <row r="407">
      <c r="C407" s="39"/>
    </row>
    <row r="408">
      <c r="C408" s="39"/>
    </row>
    <row r="409">
      <c r="C409" s="39"/>
    </row>
    <row r="410">
      <c r="C410" s="39"/>
    </row>
    <row r="411">
      <c r="C411" s="39"/>
    </row>
    <row r="412">
      <c r="C412" s="39"/>
    </row>
    <row r="413">
      <c r="C413" s="39"/>
    </row>
    <row r="414">
      <c r="C414" s="39"/>
    </row>
    <row r="415">
      <c r="C415" s="39"/>
    </row>
    <row r="416">
      <c r="C416" s="39"/>
    </row>
    <row r="417">
      <c r="C417" s="39"/>
    </row>
    <row r="418">
      <c r="C418" s="39"/>
    </row>
    <row r="419">
      <c r="C419" s="39"/>
    </row>
    <row r="420">
      <c r="C420" s="39"/>
    </row>
    <row r="421">
      <c r="C421" s="39"/>
    </row>
    <row r="422">
      <c r="C422" s="39"/>
    </row>
    <row r="423">
      <c r="C423" s="39"/>
    </row>
    <row r="424">
      <c r="C424" s="39"/>
    </row>
    <row r="425">
      <c r="C425" s="39"/>
    </row>
    <row r="426">
      <c r="C426" s="39"/>
    </row>
    <row r="427">
      <c r="C427" s="39"/>
    </row>
    <row r="428">
      <c r="C428" s="39"/>
    </row>
    <row r="429">
      <c r="C429" s="39"/>
    </row>
    <row r="430">
      <c r="C430" s="39"/>
    </row>
    <row r="431">
      <c r="C431" s="39"/>
    </row>
    <row r="432">
      <c r="C432" s="39"/>
    </row>
    <row r="433">
      <c r="C433" s="39"/>
    </row>
    <row r="434">
      <c r="C434" s="39"/>
    </row>
    <row r="435">
      <c r="C435" s="39"/>
    </row>
    <row r="436">
      <c r="C436" s="39"/>
    </row>
    <row r="437">
      <c r="C437" s="39"/>
    </row>
    <row r="438">
      <c r="C438" s="39"/>
    </row>
    <row r="439">
      <c r="C439" s="39"/>
    </row>
    <row r="440">
      <c r="C440" s="39"/>
    </row>
    <row r="441">
      <c r="C441" s="39"/>
    </row>
    <row r="442">
      <c r="C442" s="39"/>
    </row>
    <row r="443">
      <c r="C443" s="39"/>
    </row>
    <row r="444">
      <c r="C444" s="39"/>
    </row>
    <row r="445">
      <c r="C445" s="39"/>
    </row>
    <row r="446">
      <c r="C446" s="39"/>
    </row>
    <row r="447">
      <c r="C447" s="39"/>
    </row>
    <row r="448">
      <c r="C448" s="39"/>
    </row>
    <row r="449">
      <c r="C449" s="39"/>
    </row>
    <row r="450">
      <c r="C450" s="39"/>
    </row>
    <row r="451">
      <c r="C451" s="39"/>
    </row>
    <row r="452">
      <c r="C452" s="39"/>
    </row>
    <row r="453">
      <c r="C453" s="39"/>
    </row>
    <row r="454">
      <c r="C454" s="39"/>
    </row>
    <row r="455">
      <c r="C455" s="39"/>
    </row>
    <row r="456">
      <c r="C456" s="39"/>
    </row>
    <row r="457">
      <c r="C457" s="39"/>
    </row>
    <row r="458">
      <c r="C458" s="39"/>
    </row>
    <row r="459">
      <c r="C459" s="39"/>
    </row>
    <row r="460">
      <c r="C460" s="39"/>
    </row>
    <row r="461">
      <c r="C461" s="39"/>
    </row>
    <row r="462">
      <c r="C462" s="39"/>
    </row>
    <row r="463">
      <c r="C463" s="39"/>
    </row>
    <row r="464">
      <c r="C464" s="39"/>
    </row>
    <row r="465">
      <c r="C465" s="39"/>
    </row>
    <row r="466">
      <c r="C466" s="39"/>
    </row>
    <row r="467">
      <c r="C467" s="39"/>
    </row>
    <row r="468">
      <c r="C468" s="39"/>
    </row>
    <row r="469">
      <c r="C469" s="39"/>
    </row>
    <row r="470">
      <c r="C470" s="39"/>
    </row>
    <row r="471">
      <c r="C471" s="39"/>
    </row>
    <row r="472">
      <c r="C472" s="39"/>
    </row>
    <row r="473">
      <c r="C473" s="39"/>
    </row>
    <row r="474">
      <c r="C474" s="39"/>
    </row>
    <row r="475">
      <c r="C475" s="39"/>
    </row>
    <row r="476">
      <c r="C476" s="39"/>
    </row>
    <row r="477">
      <c r="C477" s="39"/>
    </row>
    <row r="478">
      <c r="C478" s="39"/>
    </row>
    <row r="479">
      <c r="C479" s="39"/>
    </row>
    <row r="480">
      <c r="C480" s="39"/>
    </row>
    <row r="481">
      <c r="C481" s="39"/>
    </row>
    <row r="482">
      <c r="C482" s="39"/>
    </row>
    <row r="483">
      <c r="C483" s="39"/>
    </row>
    <row r="484">
      <c r="C484" s="39"/>
    </row>
    <row r="485">
      <c r="C485" s="39"/>
    </row>
    <row r="486">
      <c r="C486" s="39"/>
    </row>
    <row r="487">
      <c r="C487" s="39"/>
    </row>
    <row r="488">
      <c r="C488" s="39"/>
    </row>
    <row r="489">
      <c r="C489" s="39"/>
    </row>
    <row r="490">
      <c r="C490" s="39"/>
    </row>
    <row r="491">
      <c r="C491" s="39"/>
    </row>
    <row r="492">
      <c r="C492" s="39"/>
    </row>
    <row r="493">
      <c r="C493" s="39"/>
    </row>
    <row r="494">
      <c r="C494" s="39"/>
    </row>
    <row r="495">
      <c r="C495" s="39"/>
    </row>
    <row r="496">
      <c r="C496" s="39"/>
    </row>
    <row r="497">
      <c r="C497" s="39"/>
    </row>
    <row r="498">
      <c r="C498" s="39"/>
    </row>
    <row r="499">
      <c r="C499" s="39"/>
    </row>
    <row r="500">
      <c r="C500" s="39"/>
    </row>
    <row r="501">
      <c r="C501" s="39"/>
    </row>
    <row r="502">
      <c r="C502" s="39"/>
    </row>
    <row r="503">
      <c r="C503" s="39"/>
    </row>
    <row r="504">
      <c r="C504" s="39"/>
    </row>
    <row r="505">
      <c r="C505" s="39"/>
    </row>
    <row r="506">
      <c r="C506" s="39"/>
    </row>
    <row r="507">
      <c r="C507" s="39"/>
    </row>
    <row r="508">
      <c r="C508" s="39"/>
    </row>
    <row r="509">
      <c r="C509" s="39"/>
    </row>
    <row r="510">
      <c r="C510" s="39"/>
    </row>
    <row r="511">
      <c r="C511" s="39"/>
    </row>
    <row r="512">
      <c r="C512" s="39"/>
    </row>
    <row r="513">
      <c r="C513" s="39"/>
    </row>
    <row r="514">
      <c r="C514" s="39"/>
    </row>
    <row r="515">
      <c r="C515" s="39"/>
    </row>
    <row r="516">
      <c r="C516" s="39"/>
    </row>
    <row r="517">
      <c r="C517" s="39"/>
    </row>
    <row r="518">
      <c r="C518" s="39"/>
    </row>
    <row r="519">
      <c r="C519" s="39"/>
    </row>
    <row r="520">
      <c r="C520" s="39"/>
    </row>
    <row r="521">
      <c r="C521" s="39"/>
    </row>
    <row r="522">
      <c r="C522" s="39"/>
    </row>
    <row r="523">
      <c r="C523" s="39"/>
    </row>
    <row r="524">
      <c r="C524" s="39"/>
    </row>
    <row r="525">
      <c r="C525" s="39"/>
    </row>
    <row r="526">
      <c r="C526" s="39"/>
    </row>
    <row r="527">
      <c r="C527" s="39"/>
    </row>
    <row r="528">
      <c r="C528" s="39"/>
    </row>
    <row r="529">
      <c r="C529" s="39"/>
    </row>
    <row r="530">
      <c r="C530" s="39"/>
    </row>
    <row r="531">
      <c r="C531" s="39"/>
    </row>
    <row r="532">
      <c r="C532" s="39"/>
    </row>
    <row r="533">
      <c r="C533" s="39"/>
    </row>
    <row r="534">
      <c r="C534" s="39"/>
    </row>
    <row r="535">
      <c r="C535" s="39"/>
    </row>
    <row r="536">
      <c r="C536" s="39"/>
    </row>
    <row r="537">
      <c r="C537" s="39"/>
    </row>
    <row r="538">
      <c r="C538" s="39"/>
    </row>
    <row r="539">
      <c r="C539" s="39"/>
    </row>
    <row r="540">
      <c r="C540" s="39"/>
    </row>
    <row r="541">
      <c r="C541" s="39"/>
    </row>
    <row r="542">
      <c r="C542" s="39"/>
    </row>
    <row r="543">
      <c r="C543" s="39"/>
    </row>
    <row r="544">
      <c r="C544" s="39"/>
    </row>
    <row r="545">
      <c r="C545" s="39"/>
    </row>
    <row r="546">
      <c r="C546" s="39"/>
    </row>
    <row r="547">
      <c r="C547" s="39"/>
    </row>
    <row r="548">
      <c r="C548" s="39"/>
    </row>
    <row r="549">
      <c r="C549" s="39"/>
    </row>
    <row r="550">
      <c r="C550" s="39"/>
    </row>
    <row r="551">
      <c r="C551" s="39"/>
    </row>
    <row r="552">
      <c r="C552" s="39"/>
    </row>
    <row r="553">
      <c r="C553" s="39"/>
    </row>
    <row r="554">
      <c r="C554" s="39"/>
    </row>
    <row r="555">
      <c r="C555" s="39"/>
    </row>
    <row r="556">
      <c r="C556" s="39"/>
    </row>
    <row r="557">
      <c r="C557" s="39"/>
    </row>
    <row r="558">
      <c r="C558" s="39"/>
    </row>
    <row r="559">
      <c r="C559" s="39"/>
    </row>
    <row r="560">
      <c r="C560" s="39"/>
    </row>
    <row r="561">
      <c r="C561" s="39"/>
    </row>
    <row r="562">
      <c r="C562" s="39"/>
    </row>
    <row r="563">
      <c r="C563" s="39"/>
    </row>
    <row r="564">
      <c r="C564" s="39"/>
    </row>
    <row r="565">
      <c r="C565" s="39"/>
    </row>
    <row r="566">
      <c r="C566" s="39"/>
    </row>
    <row r="567">
      <c r="C567" s="39"/>
    </row>
    <row r="568">
      <c r="C568" s="39"/>
    </row>
    <row r="569">
      <c r="C569" s="39"/>
    </row>
    <row r="570">
      <c r="C570" s="39"/>
    </row>
    <row r="571">
      <c r="C571" s="39"/>
    </row>
    <row r="572">
      <c r="C572" s="39"/>
    </row>
    <row r="573">
      <c r="C573" s="39"/>
    </row>
    <row r="574">
      <c r="C574" s="39"/>
    </row>
    <row r="575">
      <c r="C575" s="39"/>
    </row>
    <row r="576">
      <c r="C576" s="39"/>
    </row>
    <row r="577">
      <c r="C577" s="39"/>
    </row>
    <row r="578">
      <c r="C578" s="39"/>
    </row>
    <row r="579">
      <c r="C579" s="39"/>
    </row>
    <row r="580">
      <c r="C580" s="39"/>
    </row>
    <row r="581">
      <c r="C581" s="39"/>
    </row>
    <row r="582">
      <c r="C582" s="39"/>
    </row>
    <row r="583">
      <c r="C583" s="39"/>
    </row>
    <row r="584">
      <c r="C584" s="39"/>
    </row>
    <row r="585">
      <c r="C585" s="39"/>
    </row>
    <row r="586">
      <c r="C586" s="39"/>
    </row>
    <row r="587">
      <c r="C587" s="39"/>
    </row>
    <row r="588">
      <c r="C588" s="39"/>
    </row>
    <row r="589">
      <c r="C589" s="39"/>
    </row>
    <row r="590">
      <c r="C590" s="39"/>
    </row>
    <row r="591">
      <c r="C591" s="39"/>
    </row>
    <row r="592">
      <c r="C592" s="39"/>
    </row>
    <row r="593">
      <c r="C593" s="39"/>
    </row>
    <row r="594">
      <c r="C594" s="39"/>
    </row>
    <row r="595">
      <c r="C595" s="39"/>
    </row>
    <row r="596">
      <c r="C596" s="39"/>
    </row>
    <row r="597">
      <c r="C597" s="39"/>
    </row>
    <row r="598">
      <c r="C598" s="39"/>
    </row>
    <row r="599">
      <c r="C599" s="39"/>
    </row>
    <row r="600">
      <c r="C600" s="39"/>
    </row>
    <row r="601">
      <c r="C601" s="39"/>
    </row>
    <row r="602">
      <c r="C602" s="39"/>
    </row>
    <row r="603">
      <c r="C603" s="39"/>
    </row>
    <row r="604">
      <c r="C604" s="39"/>
    </row>
    <row r="605">
      <c r="C605" s="39"/>
    </row>
    <row r="606">
      <c r="C606" s="39"/>
    </row>
    <row r="607">
      <c r="C607" s="39"/>
    </row>
    <row r="608">
      <c r="C608" s="39"/>
    </row>
    <row r="609">
      <c r="C609" s="39"/>
    </row>
    <row r="610">
      <c r="C610" s="39"/>
    </row>
    <row r="611">
      <c r="C611" s="39"/>
    </row>
    <row r="612">
      <c r="C612" s="39"/>
    </row>
    <row r="613">
      <c r="C613" s="39"/>
    </row>
    <row r="614">
      <c r="C614" s="39"/>
    </row>
    <row r="615">
      <c r="C615" s="39"/>
    </row>
    <row r="616">
      <c r="C616" s="39"/>
    </row>
    <row r="617">
      <c r="C617" s="39"/>
    </row>
    <row r="618">
      <c r="C618" s="39"/>
    </row>
    <row r="619">
      <c r="C619" s="39"/>
    </row>
    <row r="620">
      <c r="C620" s="39"/>
    </row>
    <row r="621">
      <c r="C621" s="39"/>
    </row>
    <row r="622">
      <c r="C622" s="39"/>
    </row>
    <row r="623">
      <c r="C623" s="39"/>
    </row>
    <row r="624">
      <c r="C624" s="39"/>
    </row>
    <row r="625">
      <c r="C625" s="39"/>
    </row>
    <row r="626">
      <c r="C626" s="39"/>
    </row>
    <row r="627">
      <c r="C627" s="39"/>
    </row>
    <row r="628">
      <c r="C628" s="39"/>
    </row>
    <row r="629">
      <c r="C629" s="39"/>
    </row>
    <row r="630">
      <c r="C630" s="39"/>
    </row>
    <row r="631">
      <c r="C631" s="39"/>
    </row>
    <row r="632">
      <c r="C632" s="39"/>
    </row>
    <row r="633">
      <c r="C633" s="39"/>
    </row>
    <row r="634">
      <c r="C634" s="39"/>
    </row>
    <row r="635">
      <c r="C635" s="39"/>
    </row>
    <row r="636">
      <c r="C636" s="39"/>
    </row>
    <row r="637">
      <c r="C637" s="39"/>
    </row>
    <row r="638">
      <c r="C638" s="39"/>
    </row>
    <row r="639">
      <c r="C639" s="39"/>
    </row>
    <row r="640">
      <c r="C640" s="39"/>
    </row>
    <row r="641">
      <c r="C641" s="39"/>
    </row>
    <row r="642">
      <c r="C642" s="39"/>
    </row>
    <row r="643">
      <c r="C643" s="39"/>
    </row>
    <row r="644">
      <c r="C644" s="39"/>
    </row>
    <row r="645">
      <c r="C645" s="39"/>
    </row>
    <row r="646">
      <c r="C646" s="39"/>
    </row>
    <row r="647">
      <c r="C647" s="39"/>
    </row>
    <row r="648">
      <c r="C648" s="39"/>
    </row>
    <row r="649">
      <c r="C649" s="39"/>
    </row>
    <row r="650">
      <c r="C650" s="39"/>
    </row>
    <row r="651">
      <c r="C651" s="39"/>
    </row>
    <row r="652">
      <c r="C652" s="39"/>
    </row>
    <row r="653">
      <c r="C653" s="39"/>
    </row>
    <row r="654">
      <c r="C654" s="39"/>
    </row>
    <row r="655">
      <c r="C655" s="39"/>
    </row>
    <row r="656">
      <c r="C656" s="39"/>
    </row>
    <row r="657">
      <c r="C657" s="39"/>
    </row>
    <row r="658">
      <c r="C658" s="39"/>
    </row>
    <row r="659">
      <c r="C659" s="39"/>
    </row>
    <row r="660">
      <c r="C660" s="39"/>
    </row>
    <row r="661">
      <c r="C661" s="39"/>
    </row>
    <row r="662">
      <c r="C662" s="39"/>
    </row>
    <row r="663">
      <c r="C663" s="39"/>
    </row>
    <row r="664">
      <c r="C664" s="39"/>
    </row>
    <row r="665">
      <c r="C665" s="39"/>
    </row>
    <row r="666">
      <c r="C666" s="39"/>
    </row>
    <row r="667">
      <c r="C667" s="39"/>
    </row>
    <row r="668">
      <c r="C668" s="39"/>
    </row>
    <row r="669">
      <c r="C669" s="39"/>
    </row>
    <row r="670">
      <c r="C670" s="39"/>
    </row>
    <row r="671">
      <c r="C671" s="39"/>
    </row>
    <row r="672">
      <c r="C672" s="39"/>
    </row>
    <row r="673">
      <c r="C673" s="39"/>
    </row>
    <row r="674">
      <c r="C674" s="39"/>
    </row>
    <row r="675">
      <c r="C675" s="39"/>
    </row>
    <row r="676">
      <c r="C676" s="39"/>
    </row>
    <row r="677">
      <c r="C677" s="39"/>
    </row>
    <row r="678">
      <c r="C678" s="39"/>
    </row>
    <row r="679">
      <c r="C679" s="39"/>
    </row>
    <row r="680">
      <c r="C680" s="39"/>
    </row>
    <row r="681">
      <c r="C681" s="39"/>
    </row>
    <row r="682">
      <c r="C682" s="39"/>
    </row>
    <row r="683">
      <c r="C683" s="39"/>
    </row>
    <row r="684">
      <c r="C684" s="39"/>
    </row>
    <row r="685">
      <c r="C685" s="39"/>
    </row>
    <row r="686">
      <c r="C686" s="39"/>
    </row>
    <row r="687">
      <c r="C687" s="39"/>
    </row>
    <row r="688">
      <c r="C688" s="39"/>
    </row>
    <row r="689">
      <c r="C689" s="39"/>
    </row>
    <row r="690">
      <c r="C690" s="39"/>
    </row>
    <row r="691">
      <c r="C691" s="39"/>
    </row>
    <row r="692">
      <c r="C692" s="39"/>
    </row>
    <row r="693">
      <c r="C693" s="39"/>
    </row>
    <row r="694">
      <c r="C694" s="39"/>
    </row>
    <row r="695">
      <c r="C695" s="39"/>
    </row>
    <row r="696">
      <c r="C696" s="39"/>
    </row>
    <row r="697">
      <c r="C697" s="39"/>
    </row>
    <row r="698">
      <c r="C698" s="39"/>
    </row>
    <row r="699">
      <c r="C699" s="39"/>
    </row>
    <row r="700">
      <c r="C700" s="39"/>
    </row>
    <row r="701">
      <c r="C701" s="39"/>
    </row>
    <row r="702">
      <c r="C702" s="39"/>
    </row>
    <row r="703">
      <c r="C703" s="39"/>
    </row>
    <row r="704">
      <c r="C704" s="39"/>
    </row>
    <row r="705">
      <c r="C705" s="39"/>
    </row>
    <row r="706">
      <c r="C706" s="39"/>
    </row>
    <row r="707">
      <c r="C707" s="39"/>
    </row>
    <row r="708">
      <c r="C708" s="39"/>
    </row>
    <row r="709">
      <c r="C709" s="39"/>
    </row>
    <row r="710">
      <c r="C710" s="39"/>
    </row>
    <row r="711">
      <c r="C711" s="39"/>
    </row>
    <row r="712">
      <c r="C712" s="39"/>
    </row>
    <row r="713">
      <c r="C713" s="39"/>
    </row>
    <row r="714">
      <c r="C714" s="39"/>
    </row>
    <row r="715">
      <c r="C715" s="39"/>
    </row>
    <row r="716">
      <c r="C716" s="39"/>
    </row>
    <row r="717">
      <c r="C717" s="39"/>
    </row>
    <row r="718">
      <c r="C718" s="39"/>
    </row>
    <row r="719">
      <c r="C719" s="39"/>
    </row>
    <row r="720">
      <c r="C720" s="39"/>
    </row>
    <row r="721">
      <c r="C721" s="39"/>
    </row>
    <row r="722">
      <c r="C722" s="39"/>
    </row>
    <row r="723">
      <c r="C723" s="39"/>
    </row>
    <row r="724">
      <c r="C724" s="39"/>
    </row>
    <row r="725">
      <c r="C725" s="39"/>
    </row>
    <row r="726">
      <c r="C726" s="39"/>
    </row>
    <row r="727">
      <c r="C727" s="39"/>
    </row>
    <row r="728">
      <c r="C728" s="39"/>
    </row>
    <row r="729">
      <c r="C729" s="39"/>
    </row>
    <row r="730">
      <c r="C730" s="39"/>
    </row>
    <row r="731">
      <c r="C731" s="39"/>
    </row>
    <row r="732">
      <c r="C732" s="39"/>
    </row>
    <row r="733">
      <c r="C733" s="39"/>
    </row>
    <row r="734">
      <c r="C734" s="39"/>
    </row>
    <row r="735">
      <c r="C735" s="39"/>
    </row>
    <row r="736">
      <c r="C736" s="39"/>
    </row>
    <row r="737">
      <c r="C737" s="39"/>
    </row>
    <row r="738">
      <c r="C738" s="39"/>
    </row>
    <row r="739">
      <c r="C739" s="39"/>
    </row>
    <row r="740">
      <c r="C740" s="39"/>
    </row>
    <row r="741">
      <c r="C741" s="39"/>
    </row>
    <row r="742">
      <c r="C742" s="39"/>
    </row>
    <row r="743">
      <c r="C743" s="39"/>
    </row>
    <row r="744">
      <c r="C744" s="39"/>
    </row>
    <row r="745">
      <c r="C745" s="39"/>
    </row>
    <row r="746">
      <c r="C746" s="39"/>
    </row>
    <row r="747">
      <c r="C747" s="39"/>
    </row>
    <row r="748">
      <c r="C748" s="39"/>
    </row>
    <row r="749">
      <c r="C749" s="39"/>
    </row>
    <row r="750">
      <c r="C750" s="39"/>
    </row>
    <row r="751">
      <c r="C751" s="39"/>
    </row>
    <row r="752">
      <c r="C752" s="39"/>
    </row>
    <row r="753">
      <c r="C753" s="39"/>
    </row>
    <row r="754">
      <c r="C754" s="39"/>
    </row>
    <row r="755">
      <c r="C755" s="39"/>
    </row>
    <row r="756">
      <c r="C756" s="39"/>
    </row>
    <row r="757">
      <c r="C757" s="39"/>
    </row>
    <row r="758">
      <c r="C758" s="39"/>
    </row>
    <row r="759">
      <c r="C759" s="39"/>
    </row>
    <row r="760">
      <c r="C760" s="39"/>
    </row>
    <row r="761">
      <c r="C761" s="39"/>
    </row>
    <row r="762">
      <c r="C762" s="39"/>
    </row>
    <row r="763">
      <c r="C763" s="39"/>
    </row>
    <row r="764">
      <c r="C764" s="39"/>
    </row>
    <row r="765">
      <c r="C765" s="39"/>
    </row>
    <row r="766">
      <c r="C766" s="39"/>
    </row>
    <row r="767">
      <c r="C767" s="39"/>
    </row>
    <row r="768">
      <c r="C768" s="39"/>
    </row>
    <row r="769">
      <c r="C769" s="39"/>
    </row>
    <row r="770">
      <c r="C770" s="39"/>
    </row>
    <row r="771">
      <c r="C771" s="39"/>
    </row>
    <row r="772">
      <c r="C772" s="39"/>
    </row>
    <row r="773">
      <c r="C773" s="39"/>
    </row>
    <row r="774">
      <c r="C774" s="39"/>
    </row>
    <row r="775">
      <c r="C775" s="39"/>
    </row>
    <row r="776">
      <c r="C776" s="39"/>
    </row>
    <row r="777">
      <c r="C777" s="39"/>
    </row>
    <row r="778">
      <c r="C778" s="39"/>
    </row>
    <row r="779">
      <c r="C779" s="39"/>
    </row>
    <row r="780">
      <c r="C780" s="39"/>
    </row>
    <row r="781">
      <c r="C781" s="39"/>
    </row>
    <row r="782">
      <c r="C782" s="39"/>
    </row>
    <row r="783">
      <c r="C783" s="39"/>
    </row>
    <row r="784">
      <c r="C784" s="39"/>
    </row>
    <row r="785">
      <c r="C785" s="39"/>
    </row>
    <row r="786">
      <c r="C786" s="39"/>
    </row>
    <row r="787">
      <c r="C787" s="39"/>
    </row>
    <row r="788">
      <c r="C788" s="39"/>
    </row>
    <row r="789">
      <c r="C789" s="39"/>
    </row>
    <row r="790">
      <c r="C790" s="39"/>
    </row>
    <row r="791">
      <c r="C791" s="39"/>
    </row>
    <row r="792">
      <c r="C792" s="39"/>
    </row>
    <row r="793">
      <c r="C793" s="39"/>
    </row>
    <row r="794">
      <c r="C794" s="39"/>
    </row>
    <row r="795">
      <c r="C795" s="39"/>
    </row>
    <row r="796">
      <c r="C796" s="39"/>
    </row>
    <row r="797">
      <c r="C797" s="39"/>
    </row>
    <row r="798">
      <c r="C798" s="39"/>
    </row>
    <row r="799">
      <c r="C799" s="39"/>
    </row>
    <row r="800">
      <c r="C800" s="39"/>
    </row>
    <row r="801">
      <c r="C801" s="39"/>
    </row>
    <row r="802">
      <c r="C802" s="39"/>
    </row>
    <row r="803">
      <c r="C803" s="39"/>
    </row>
    <row r="804">
      <c r="C804" s="39"/>
    </row>
    <row r="805">
      <c r="C805" s="39"/>
    </row>
    <row r="806">
      <c r="C806" s="39"/>
    </row>
    <row r="807">
      <c r="C807" s="39"/>
    </row>
    <row r="808">
      <c r="C808" s="39"/>
    </row>
    <row r="809">
      <c r="C809" s="39"/>
    </row>
    <row r="810">
      <c r="C810" s="39"/>
    </row>
    <row r="811">
      <c r="C811" s="39"/>
    </row>
    <row r="812">
      <c r="C812" s="39"/>
    </row>
    <row r="813">
      <c r="C813" s="39"/>
    </row>
    <row r="814">
      <c r="C814" s="39"/>
    </row>
    <row r="815">
      <c r="C815" s="39"/>
    </row>
    <row r="816">
      <c r="C816" s="39"/>
    </row>
    <row r="817">
      <c r="C817" s="39"/>
    </row>
    <row r="818">
      <c r="C818" s="39"/>
    </row>
    <row r="819">
      <c r="C819" s="39"/>
    </row>
    <row r="820">
      <c r="C820" s="39"/>
    </row>
    <row r="821">
      <c r="C821" s="39"/>
    </row>
    <row r="822">
      <c r="C822" s="39"/>
    </row>
    <row r="823">
      <c r="C823" s="39"/>
    </row>
    <row r="824">
      <c r="C824" s="39"/>
    </row>
    <row r="825">
      <c r="C825" s="39"/>
    </row>
    <row r="826">
      <c r="C826" s="39"/>
    </row>
    <row r="827">
      <c r="C827" s="39"/>
    </row>
    <row r="828">
      <c r="C828" s="39"/>
    </row>
    <row r="829">
      <c r="C829" s="39"/>
    </row>
    <row r="830">
      <c r="C830" s="39"/>
    </row>
    <row r="831">
      <c r="C831" s="39"/>
    </row>
    <row r="832">
      <c r="C832" s="39"/>
    </row>
    <row r="833">
      <c r="C833" s="39"/>
    </row>
    <row r="834">
      <c r="C834" s="39"/>
    </row>
    <row r="835">
      <c r="C835" s="39"/>
    </row>
    <row r="836">
      <c r="C836" s="39"/>
    </row>
    <row r="837">
      <c r="C837" s="39"/>
    </row>
    <row r="838">
      <c r="C838" s="39"/>
    </row>
    <row r="839">
      <c r="C839" s="39"/>
    </row>
    <row r="840">
      <c r="C840" s="39"/>
    </row>
    <row r="841">
      <c r="C841" s="39"/>
    </row>
    <row r="842">
      <c r="C842" s="39"/>
    </row>
    <row r="843">
      <c r="C843" s="39"/>
    </row>
    <row r="844">
      <c r="C844" s="39"/>
    </row>
    <row r="845">
      <c r="C845" s="39"/>
    </row>
    <row r="846">
      <c r="C846" s="39"/>
    </row>
    <row r="847">
      <c r="C847" s="39"/>
    </row>
    <row r="848">
      <c r="C848" s="39"/>
    </row>
    <row r="849">
      <c r="C849" s="39"/>
    </row>
    <row r="850">
      <c r="C850" s="39"/>
    </row>
    <row r="851">
      <c r="C851" s="39"/>
    </row>
    <row r="852">
      <c r="C852" s="39"/>
    </row>
    <row r="853">
      <c r="C853" s="39"/>
    </row>
    <row r="854">
      <c r="C854" s="39"/>
    </row>
    <row r="855">
      <c r="C855" s="39"/>
    </row>
    <row r="856">
      <c r="C856" s="39"/>
    </row>
    <row r="857">
      <c r="C857" s="39"/>
    </row>
    <row r="858">
      <c r="C858" s="39"/>
    </row>
    <row r="859">
      <c r="C859" s="39"/>
    </row>
    <row r="860">
      <c r="C860" s="39"/>
    </row>
    <row r="861">
      <c r="C861" s="39"/>
    </row>
    <row r="862">
      <c r="C862" s="39"/>
    </row>
    <row r="863">
      <c r="C863" s="39"/>
    </row>
    <row r="864">
      <c r="C864" s="39"/>
    </row>
    <row r="865">
      <c r="C865" s="39"/>
    </row>
    <row r="866">
      <c r="C866" s="39"/>
    </row>
    <row r="867">
      <c r="C867" s="39"/>
    </row>
    <row r="868">
      <c r="C868" s="39"/>
    </row>
    <row r="869">
      <c r="C869" s="39"/>
    </row>
    <row r="870">
      <c r="C870" s="39"/>
    </row>
    <row r="871">
      <c r="C871" s="39"/>
    </row>
    <row r="872">
      <c r="C872" s="39"/>
    </row>
    <row r="873">
      <c r="C873" s="39"/>
    </row>
    <row r="874">
      <c r="C874" s="39"/>
    </row>
    <row r="875">
      <c r="C875" s="39"/>
    </row>
    <row r="876">
      <c r="C876" s="39"/>
    </row>
    <row r="877">
      <c r="C877" s="39"/>
    </row>
    <row r="878">
      <c r="C878" s="39"/>
    </row>
    <row r="879">
      <c r="C879" s="39"/>
    </row>
    <row r="880">
      <c r="C880" s="39"/>
    </row>
    <row r="881">
      <c r="C881" s="39"/>
    </row>
    <row r="882">
      <c r="C882" s="39"/>
    </row>
    <row r="883">
      <c r="C883" s="39"/>
    </row>
    <row r="884">
      <c r="C884" s="39"/>
    </row>
    <row r="885">
      <c r="C885" s="39"/>
    </row>
    <row r="886">
      <c r="C886" s="39"/>
    </row>
    <row r="887">
      <c r="C887" s="39"/>
    </row>
    <row r="888">
      <c r="C888" s="39"/>
    </row>
    <row r="889">
      <c r="C889" s="39"/>
    </row>
    <row r="890">
      <c r="C890" s="39"/>
    </row>
    <row r="891">
      <c r="C891" s="39"/>
    </row>
    <row r="892">
      <c r="C892" s="39"/>
    </row>
    <row r="893">
      <c r="C893" s="39"/>
    </row>
    <row r="894">
      <c r="C894" s="39"/>
    </row>
    <row r="895">
      <c r="C895" s="39"/>
    </row>
    <row r="896">
      <c r="C896" s="39"/>
    </row>
    <row r="897">
      <c r="C897" s="39"/>
    </row>
    <row r="898">
      <c r="C898" s="39"/>
    </row>
    <row r="899">
      <c r="C899" s="39"/>
    </row>
    <row r="900">
      <c r="C900" s="39"/>
    </row>
    <row r="901">
      <c r="C901" s="39"/>
    </row>
    <row r="902">
      <c r="C902" s="39"/>
    </row>
    <row r="903">
      <c r="C903" s="39"/>
    </row>
    <row r="904">
      <c r="C904" s="39"/>
    </row>
    <row r="905">
      <c r="C905" s="39"/>
    </row>
    <row r="906">
      <c r="C906" s="39"/>
    </row>
    <row r="907">
      <c r="C907" s="39"/>
    </row>
    <row r="908">
      <c r="C908" s="39"/>
    </row>
    <row r="909">
      <c r="C909" s="39"/>
    </row>
    <row r="910">
      <c r="C910" s="39"/>
    </row>
    <row r="911">
      <c r="C911" s="39"/>
    </row>
    <row r="912">
      <c r="C912" s="39"/>
    </row>
    <row r="913">
      <c r="C913" s="39"/>
    </row>
    <row r="914">
      <c r="C914" s="39"/>
    </row>
    <row r="915">
      <c r="C915" s="39"/>
    </row>
    <row r="916">
      <c r="C916" s="39"/>
    </row>
    <row r="917">
      <c r="C917" s="39"/>
    </row>
    <row r="918">
      <c r="C918" s="39"/>
    </row>
    <row r="919">
      <c r="C919" s="39"/>
    </row>
    <row r="920">
      <c r="C920" s="39"/>
    </row>
    <row r="921">
      <c r="C921" s="39"/>
    </row>
    <row r="922">
      <c r="C922" s="39"/>
    </row>
    <row r="923">
      <c r="C923" s="39"/>
    </row>
    <row r="924">
      <c r="C924" s="39"/>
    </row>
    <row r="925">
      <c r="C925" s="39"/>
    </row>
    <row r="926">
      <c r="C926" s="39"/>
    </row>
    <row r="927">
      <c r="C927" s="39"/>
    </row>
    <row r="928">
      <c r="C928" s="39"/>
    </row>
    <row r="929">
      <c r="C929" s="39"/>
    </row>
    <row r="930">
      <c r="C930" s="39"/>
    </row>
    <row r="931">
      <c r="C931" s="39"/>
    </row>
    <row r="932">
      <c r="C932" s="39"/>
    </row>
    <row r="933">
      <c r="C933" s="39"/>
    </row>
    <row r="934">
      <c r="C934" s="39"/>
    </row>
    <row r="935">
      <c r="C935" s="39"/>
    </row>
    <row r="936">
      <c r="C936" s="39"/>
    </row>
    <row r="937">
      <c r="C937" s="39"/>
    </row>
    <row r="938">
      <c r="C938" s="39"/>
    </row>
    <row r="939">
      <c r="C939" s="39"/>
    </row>
    <row r="940">
      <c r="C940" s="39"/>
    </row>
    <row r="941">
      <c r="C941" s="39"/>
    </row>
    <row r="942">
      <c r="C942" s="39"/>
    </row>
    <row r="943">
      <c r="C943" s="39"/>
    </row>
    <row r="944">
      <c r="C944" s="39"/>
    </row>
    <row r="945">
      <c r="C945" s="39"/>
    </row>
    <row r="946">
      <c r="C946" s="39"/>
    </row>
    <row r="947">
      <c r="C947" s="39"/>
    </row>
    <row r="948">
      <c r="C948" s="39"/>
    </row>
    <row r="949">
      <c r="C949" s="39"/>
    </row>
    <row r="950">
      <c r="C950" s="39"/>
    </row>
    <row r="951">
      <c r="C951" s="39"/>
    </row>
    <row r="952">
      <c r="C952" s="39"/>
    </row>
    <row r="953">
      <c r="C953" s="39"/>
    </row>
    <row r="954">
      <c r="C954" s="39"/>
    </row>
    <row r="955">
      <c r="C955" s="39"/>
    </row>
    <row r="956">
      <c r="C956" s="39"/>
    </row>
    <row r="957">
      <c r="C957" s="39"/>
    </row>
    <row r="958">
      <c r="C958" s="39"/>
    </row>
    <row r="959">
      <c r="C959" s="39"/>
    </row>
    <row r="960">
      <c r="C960" s="39"/>
    </row>
    <row r="961">
      <c r="C961" s="39"/>
    </row>
    <row r="962">
      <c r="C962" s="39"/>
    </row>
    <row r="963">
      <c r="C963" s="39"/>
    </row>
    <row r="964">
      <c r="C964" s="39"/>
    </row>
    <row r="965">
      <c r="C965" s="39"/>
    </row>
    <row r="966">
      <c r="C966" s="39"/>
    </row>
    <row r="967">
      <c r="C967" s="39"/>
    </row>
    <row r="968">
      <c r="C968" s="39"/>
    </row>
    <row r="969">
      <c r="C969" s="39"/>
    </row>
    <row r="970">
      <c r="C970" s="39"/>
    </row>
    <row r="971">
      <c r="C971" s="39"/>
    </row>
    <row r="972">
      <c r="C972" s="39"/>
    </row>
    <row r="973">
      <c r="C973" s="39"/>
    </row>
    <row r="974">
      <c r="C974" s="39"/>
    </row>
    <row r="975">
      <c r="C975" s="39"/>
    </row>
    <row r="976">
      <c r="C976" s="39"/>
    </row>
    <row r="977">
      <c r="C977" s="39"/>
    </row>
    <row r="978">
      <c r="C978" s="39"/>
    </row>
    <row r="979">
      <c r="C979" s="39"/>
    </row>
    <row r="980">
      <c r="C980" s="39"/>
    </row>
    <row r="981">
      <c r="C981" s="39"/>
    </row>
    <row r="982">
      <c r="C982" s="39"/>
    </row>
    <row r="983">
      <c r="C983" s="39"/>
    </row>
    <row r="984">
      <c r="C984" s="39"/>
    </row>
    <row r="985">
      <c r="C985" s="39"/>
    </row>
    <row r="986">
      <c r="C986" s="39"/>
    </row>
    <row r="987">
      <c r="C987" s="39"/>
    </row>
    <row r="988">
      <c r="C988" s="39"/>
    </row>
    <row r="989">
      <c r="C989" s="39"/>
    </row>
    <row r="990">
      <c r="C990" s="39"/>
    </row>
    <row r="991">
      <c r="C991" s="39"/>
    </row>
    <row r="992">
      <c r="C992" s="39"/>
    </row>
    <row r="993">
      <c r="C993" s="39"/>
    </row>
    <row r="994">
      <c r="C994" s="39"/>
    </row>
    <row r="995">
      <c r="C995" s="39"/>
    </row>
    <row r="996">
      <c r="C996" s="39"/>
    </row>
    <row r="997">
      <c r="C997" s="39"/>
    </row>
    <row r="998">
      <c r="C998" s="39"/>
    </row>
    <row r="999">
      <c r="C999" s="39"/>
    </row>
    <row r="1000">
      <c r="C1000" s="39"/>
    </row>
    <row r="1001">
      <c r="C1001" s="39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5" max="5" width="14.25"/>
    <col customWidth="1" min="6" max="6" width="12.88"/>
    <col customWidth="1" min="7" max="7" width="15.0"/>
    <col customWidth="1" min="8" max="8" width="13.38"/>
    <col customWidth="1" min="10" max="10" width="15.25"/>
  </cols>
  <sheetData>
    <row r="1">
      <c r="A1" s="38" t="s">
        <v>38</v>
      </c>
    </row>
    <row r="2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3">
      <c r="A3" s="29" t="s">
        <v>30</v>
      </c>
      <c r="B3" s="29" t="s">
        <v>31</v>
      </c>
      <c r="C3" s="29" t="s">
        <v>2</v>
      </c>
      <c r="D3" s="29" t="s">
        <v>32</v>
      </c>
      <c r="E3" s="29" t="s">
        <v>39</v>
      </c>
      <c r="F3" s="29" t="s">
        <v>34</v>
      </c>
      <c r="G3" s="29" t="s">
        <v>4</v>
      </c>
      <c r="H3" s="29" t="s">
        <v>36</v>
      </c>
      <c r="I3" s="43" t="s">
        <v>40</v>
      </c>
      <c r="J3" s="31" t="s">
        <v>41</v>
      </c>
    </row>
    <row r="4">
      <c r="A4" s="33">
        <v>1.0</v>
      </c>
      <c r="B4" s="33" t="s">
        <v>42</v>
      </c>
      <c r="C4" s="44">
        <v>27.0</v>
      </c>
      <c r="D4" s="45">
        <v>54000.0</v>
      </c>
      <c r="E4" s="44">
        <v>794.5454545454545</v>
      </c>
      <c r="F4" s="42">
        <f>Table2[Cost=/]+Table2[Transport/=]</f>
        <v>54794.54545</v>
      </c>
      <c r="G4" s="42">
        <f>iferror(Table2[Final Cost]/Table2[Units],0)</f>
        <v>2029.427609</v>
      </c>
      <c r="I4" s="35">
        <f>Table2[Units]-Table2[Unit Sold]</f>
        <v>27</v>
      </c>
      <c r="J4" s="35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19.38"/>
    <col customWidth="1" min="5" max="5" width="13.75"/>
    <col customWidth="1" min="6" max="6" width="14.25"/>
    <col customWidth="1" min="7" max="7" width="16.13"/>
    <col customWidth="1" min="8" max="8" width="18.25"/>
    <col customWidth="1" min="9" max="9" width="13.38"/>
    <col customWidth="1" min="11" max="11" width="15.25"/>
    <col customWidth="1" min="12" max="14" width="12.75"/>
    <col customWidth="1" min="16" max="16" width="15.63"/>
  </cols>
  <sheetData>
    <row r="1">
      <c r="A1" s="38" t="s">
        <v>43</v>
      </c>
    </row>
    <row r="2">
      <c r="A2" s="38"/>
      <c r="B2" s="38"/>
      <c r="C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</row>
    <row r="3">
      <c r="A3" s="29" t="s">
        <v>30</v>
      </c>
      <c r="B3" s="29" t="s">
        <v>18</v>
      </c>
      <c r="C3" s="29" t="s">
        <v>2</v>
      </c>
      <c r="D3" s="46" t="s">
        <v>44</v>
      </c>
      <c r="E3" s="29" t="s">
        <v>32</v>
      </c>
      <c r="F3" s="29" t="s">
        <v>39</v>
      </c>
      <c r="G3" s="29" t="s">
        <v>34</v>
      </c>
      <c r="H3" s="29" t="s">
        <v>4</v>
      </c>
      <c r="I3" s="29" t="s">
        <v>35</v>
      </c>
      <c r="J3" s="29" t="s">
        <v>36</v>
      </c>
      <c r="K3" s="29" t="s">
        <v>9</v>
      </c>
      <c r="L3" s="29" t="s">
        <v>10</v>
      </c>
      <c r="M3" s="46" t="s">
        <v>45</v>
      </c>
      <c r="N3" s="46" t="s">
        <v>46</v>
      </c>
      <c r="O3" s="29" t="s">
        <v>11</v>
      </c>
      <c r="P3" s="29" t="s">
        <v>12</v>
      </c>
    </row>
    <row r="4">
      <c r="A4" s="47">
        <v>1.0</v>
      </c>
      <c r="B4" s="33" t="s">
        <v>47</v>
      </c>
      <c r="C4" s="48">
        <v>70.0</v>
      </c>
      <c r="D4" s="48" t="str">
        <f t="shared" ref="D4:D11" si="1">MMC!E5+CuMC!E6+CuMC!E45+CuMC!E83</f>
        <v>#REF!</v>
      </c>
      <c r="E4" s="49">
        <v>7150.0</v>
      </c>
      <c r="F4" s="40">
        <v>167.7908005601504</v>
      </c>
      <c r="G4" s="50">
        <f t="shared" ref="G4:G11" si="2">E4+F4</f>
        <v>7317.790801</v>
      </c>
      <c r="H4" s="50">
        <f t="shared" ref="H4:H11" si="3">iferror(G4/C4,0)</f>
        <v>104.5398686</v>
      </c>
      <c r="I4" s="42" t="str">
        <f t="shared" ref="I4:I11" si="4">MMC!L5+CuMC!L45+CuMC!L83+CuMC!L6</f>
        <v>#REF!</v>
      </c>
      <c r="J4" s="42" t="str">
        <f t="shared" ref="J4:J11" si="5">MMC!H5+CuMC!H6+CuMC!H45+CuMC!H83</f>
        <v>#REF!</v>
      </c>
      <c r="K4" s="42">
        <f t="shared" ref="K4:K11" si="6">iferror(I4/J4,0)</f>
        <v>0</v>
      </c>
      <c r="L4" s="50" t="str">
        <f t="shared" ref="L4:L11" si="7">(K4-H4)*J4</f>
        <v>#REF!</v>
      </c>
      <c r="M4" s="50"/>
      <c r="N4" s="50"/>
      <c r="O4" s="50">
        <f t="shared" ref="O4:O11" si="8">iferror(L4*100/G4,0)</f>
        <v>0</v>
      </c>
      <c r="P4" s="50" t="str">
        <f t="shared" ref="P4:P11" si="9">C4-J4</f>
        <v>#REF!</v>
      </c>
    </row>
    <row r="5">
      <c r="A5" s="47">
        <v>2.0</v>
      </c>
      <c r="B5" s="33" t="s">
        <v>48</v>
      </c>
      <c r="C5" s="48">
        <v>71.0</v>
      </c>
      <c r="D5" s="48" t="str">
        <f t="shared" si="1"/>
        <v>#REF!</v>
      </c>
      <c r="E5" s="49">
        <v>5675.0</v>
      </c>
      <c r="F5" s="40">
        <v>178.08491821015036</v>
      </c>
      <c r="G5" s="50">
        <f t="shared" si="2"/>
        <v>5853.084918</v>
      </c>
      <c r="H5" s="50">
        <f t="shared" si="3"/>
        <v>82.43781575</v>
      </c>
      <c r="I5" s="42" t="str">
        <f t="shared" si="4"/>
        <v>#REF!</v>
      </c>
      <c r="J5" s="42" t="str">
        <f t="shared" si="5"/>
        <v>#REF!</v>
      </c>
      <c r="K5" s="42">
        <f t="shared" si="6"/>
        <v>0</v>
      </c>
      <c r="L5" s="50" t="str">
        <f t="shared" si="7"/>
        <v>#REF!</v>
      </c>
      <c r="M5" s="50"/>
      <c r="N5" s="50"/>
      <c r="O5" s="50">
        <f t="shared" si="8"/>
        <v>0</v>
      </c>
      <c r="P5" s="50" t="str">
        <f t="shared" si="9"/>
        <v>#REF!</v>
      </c>
    </row>
    <row r="6">
      <c r="A6" s="47">
        <v>3.0</v>
      </c>
      <c r="B6" s="33" t="s">
        <v>49</v>
      </c>
      <c r="C6" s="48">
        <v>70.0</v>
      </c>
      <c r="D6" s="48" t="str">
        <f t="shared" si="1"/>
        <v>#REF!</v>
      </c>
      <c r="E6" s="49">
        <v>4900.0</v>
      </c>
      <c r="F6" s="40">
        <v>167.7908005601504</v>
      </c>
      <c r="G6" s="50">
        <f t="shared" si="2"/>
        <v>5067.790801</v>
      </c>
      <c r="H6" s="50">
        <f t="shared" si="3"/>
        <v>72.39701144</v>
      </c>
      <c r="I6" s="42" t="str">
        <f t="shared" si="4"/>
        <v>#REF!</v>
      </c>
      <c r="J6" s="42" t="str">
        <f t="shared" si="5"/>
        <v>#REF!</v>
      </c>
      <c r="K6" s="42">
        <f t="shared" si="6"/>
        <v>0</v>
      </c>
      <c r="L6" s="50" t="str">
        <f t="shared" si="7"/>
        <v>#REF!</v>
      </c>
      <c r="M6" s="50"/>
      <c r="N6" s="50"/>
      <c r="O6" s="50">
        <f t="shared" si="8"/>
        <v>0</v>
      </c>
      <c r="P6" s="50" t="str">
        <f t="shared" si="9"/>
        <v>#REF!</v>
      </c>
    </row>
    <row r="7">
      <c r="A7" s="47">
        <v>4.0</v>
      </c>
      <c r="B7" s="33" t="s">
        <v>50</v>
      </c>
      <c r="C7" s="48">
        <v>70.0</v>
      </c>
      <c r="D7" s="48" t="str">
        <f t="shared" si="1"/>
        <v>#REF!</v>
      </c>
      <c r="E7" s="49">
        <v>2100.0</v>
      </c>
      <c r="F7" s="40">
        <v>167.7908005601504</v>
      </c>
      <c r="G7" s="50">
        <f t="shared" si="2"/>
        <v>2267.790801</v>
      </c>
      <c r="H7" s="50">
        <f t="shared" si="3"/>
        <v>32.39701144</v>
      </c>
      <c r="I7" s="42" t="str">
        <f t="shared" si="4"/>
        <v>#REF!</v>
      </c>
      <c r="J7" s="42" t="str">
        <f t="shared" si="5"/>
        <v>#REF!</v>
      </c>
      <c r="K7" s="42">
        <f t="shared" si="6"/>
        <v>0</v>
      </c>
      <c r="L7" s="50" t="str">
        <f t="shared" si="7"/>
        <v>#REF!</v>
      </c>
      <c r="M7" s="50"/>
      <c r="N7" s="50"/>
      <c r="O7" s="50">
        <f t="shared" si="8"/>
        <v>0</v>
      </c>
      <c r="P7" s="50" t="str">
        <f t="shared" si="9"/>
        <v>#REF!</v>
      </c>
    </row>
    <row r="8">
      <c r="A8" s="47">
        <v>5.0</v>
      </c>
      <c r="B8" s="33" t="s">
        <v>51</v>
      </c>
      <c r="C8" s="48">
        <v>70.0</v>
      </c>
      <c r="D8" s="48" t="str">
        <f t="shared" si="1"/>
        <v>#REF!</v>
      </c>
      <c r="E8" s="49">
        <v>9450.0</v>
      </c>
      <c r="F8" s="40">
        <v>167.7908005601504</v>
      </c>
      <c r="G8" s="50">
        <f t="shared" si="2"/>
        <v>9617.790801</v>
      </c>
      <c r="H8" s="50">
        <f t="shared" si="3"/>
        <v>137.3970114</v>
      </c>
      <c r="I8" s="42" t="str">
        <f t="shared" si="4"/>
        <v>#REF!</v>
      </c>
      <c r="J8" s="42" t="str">
        <f t="shared" si="5"/>
        <v>#REF!</v>
      </c>
      <c r="K8" s="42">
        <f t="shared" si="6"/>
        <v>0</v>
      </c>
      <c r="L8" s="50" t="str">
        <f t="shared" si="7"/>
        <v>#REF!</v>
      </c>
      <c r="M8" s="50"/>
      <c r="N8" s="50"/>
      <c r="O8" s="50">
        <f t="shared" si="8"/>
        <v>0</v>
      </c>
      <c r="P8" s="50" t="str">
        <f t="shared" si="9"/>
        <v>#REF!</v>
      </c>
    </row>
    <row r="9">
      <c r="A9" s="47">
        <v>6.0</v>
      </c>
      <c r="B9" s="33" t="s">
        <v>52</v>
      </c>
      <c r="C9" s="48">
        <v>70.0</v>
      </c>
      <c r="D9" s="48" t="str">
        <f t="shared" si="1"/>
        <v>#REF!</v>
      </c>
      <c r="E9" s="49">
        <v>700.0</v>
      </c>
      <c r="F9" s="40">
        <v>167.7908005601504</v>
      </c>
      <c r="G9" s="50">
        <f t="shared" si="2"/>
        <v>867.7908006</v>
      </c>
      <c r="H9" s="50">
        <f t="shared" si="3"/>
        <v>12.39701144</v>
      </c>
      <c r="I9" s="42" t="str">
        <f t="shared" si="4"/>
        <v>#REF!</v>
      </c>
      <c r="J9" s="42" t="str">
        <f t="shared" si="5"/>
        <v>#REF!</v>
      </c>
      <c r="K9" s="42">
        <f t="shared" si="6"/>
        <v>0</v>
      </c>
      <c r="L9" s="50" t="str">
        <f t="shared" si="7"/>
        <v>#REF!</v>
      </c>
      <c r="M9" s="50"/>
      <c r="N9" s="50"/>
      <c r="O9" s="50">
        <f t="shared" si="8"/>
        <v>0</v>
      </c>
      <c r="P9" s="50" t="str">
        <f t="shared" si="9"/>
        <v>#REF!</v>
      </c>
    </row>
    <row r="10">
      <c r="A10" s="47">
        <v>7.0</v>
      </c>
      <c r="B10" s="33" t="s">
        <v>53</v>
      </c>
      <c r="C10" s="48">
        <v>70.0</v>
      </c>
      <c r="D10" s="48" t="str">
        <f t="shared" si="1"/>
        <v>#REF!</v>
      </c>
      <c r="E10" s="49">
        <v>1400.0</v>
      </c>
      <c r="F10" s="40">
        <v>167.7908005601504</v>
      </c>
      <c r="G10" s="50">
        <f t="shared" si="2"/>
        <v>1567.790801</v>
      </c>
      <c r="H10" s="50">
        <f t="shared" si="3"/>
        <v>22.39701144</v>
      </c>
      <c r="I10" s="42" t="str">
        <f t="shared" si="4"/>
        <v>#REF!</v>
      </c>
      <c r="J10" s="42" t="str">
        <f t="shared" si="5"/>
        <v>#REF!</v>
      </c>
      <c r="K10" s="42">
        <f t="shared" si="6"/>
        <v>0</v>
      </c>
      <c r="L10" s="50" t="str">
        <f t="shared" si="7"/>
        <v>#REF!</v>
      </c>
      <c r="M10" s="50"/>
      <c r="N10" s="50"/>
      <c r="O10" s="50">
        <f t="shared" si="8"/>
        <v>0</v>
      </c>
      <c r="P10" s="50" t="str">
        <f t="shared" si="9"/>
        <v>#REF!</v>
      </c>
    </row>
    <row r="11">
      <c r="A11" s="47">
        <v>8.0</v>
      </c>
      <c r="B11" s="33" t="s">
        <v>54</v>
      </c>
      <c r="C11" s="48">
        <v>68.0</v>
      </c>
      <c r="D11" s="48" t="str">
        <f t="shared" si="1"/>
        <v>#REF!</v>
      </c>
      <c r="E11" s="49">
        <v>1115.0</v>
      </c>
      <c r="F11" s="40"/>
      <c r="G11" s="50">
        <f t="shared" si="2"/>
        <v>1115</v>
      </c>
      <c r="H11" s="50">
        <f t="shared" si="3"/>
        <v>16.39705882</v>
      </c>
      <c r="I11" s="42" t="str">
        <f t="shared" si="4"/>
        <v>#REF!</v>
      </c>
      <c r="J11" s="42" t="str">
        <f t="shared" si="5"/>
        <v>#REF!</v>
      </c>
      <c r="K11" s="42">
        <f t="shared" si="6"/>
        <v>0</v>
      </c>
      <c r="L11" s="50" t="str">
        <f t="shared" si="7"/>
        <v>#REF!</v>
      </c>
      <c r="M11" s="50"/>
      <c r="N11" s="50"/>
      <c r="O11" s="50">
        <f t="shared" si="8"/>
        <v>0</v>
      </c>
      <c r="P11" s="50" t="str">
        <f t="shared" si="9"/>
        <v>#REF!</v>
      </c>
    </row>
  </sheetData>
  <dataValidations>
    <dataValidation type="custom" allowBlank="1" showDropDown="1" sqref="A4:A11 C4:C11 E4:E11 G4:H11 L4:L11 O4:P11">
      <formula1>AND(ISNUMBER(A4),(NOT(OR(NOT(ISERROR(DATEVALUE(A4))), AND(ISNUMBER(A4), LEFT(CELL("format", A4))="D")))))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7.25"/>
    <col customWidth="1" min="6" max="6" width="14.25"/>
    <col customWidth="1" min="7" max="7" width="12.88"/>
    <col customWidth="1" min="8" max="8" width="15.0"/>
    <col customWidth="1" min="9" max="9" width="13.38"/>
    <col customWidth="1" min="11" max="11" width="15.25"/>
  </cols>
  <sheetData>
    <row r="1">
      <c r="A1" s="38" t="s">
        <v>55</v>
      </c>
    </row>
    <row r="2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</row>
    <row r="3">
      <c r="A3" s="29" t="s">
        <v>30</v>
      </c>
      <c r="B3" s="29" t="s">
        <v>56</v>
      </c>
      <c r="C3" s="29" t="s">
        <v>57</v>
      </c>
      <c r="D3" s="29" t="s">
        <v>2</v>
      </c>
      <c r="E3" s="29" t="s">
        <v>32</v>
      </c>
      <c r="F3" s="29" t="s">
        <v>39</v>
      </c>
      <c r="G3" s="29" t="s">
        <v>34</v>
      </c>
      <c r="H3" s="29" t="s">
        <v>4</v>
      </c>
      <c r="I3" s="29" t="s">
        <v>35</v>
      </c>
      <c r="J3" s="29" t="s">
        <v>36</v>
      </c>
      <c r="K3" s="29" t="s">
        <v>9</v>
      </c>
      <c r="L3" s="29" t="s">
        <v>10</v>
      </c>
      <c r="M3" s="46" t="s">
        <v>7</v>
      </c>
      <c r="N3" s="46" t="s">
        <v>46</v>
      </c>
      <c r="O3" s="29" t="s">
        <v>11</v>
      </c>
      <c r="P3" s="29" t="s">
        <v>12</v>
      </c>
    </row>
    <row r="4">
      <c r="A4" s="33">
        <v>1.0</v>
      </c>
      <c r="B4" s="33" t="s">
        <v>58</v>
      </c>
      <c r="C4" s="47">
        <v>34.0</v>
      </c>
      <c r="D4" s="40">
        <v>3.0</v>
      </c>
      <c r="E4" s="41">
        <v>1645.1680671857143</v>
      </c>
      <c r="F4" s="40">
        <v>35.60723332084316</v>
      </c>
      <c r="G4" s="42">
        <f t="shared" ref="G4:G19" si="1">E4+F4</f>
        <v>1680.775301</v>
      </c>
      <c r="H4" s="42">
        <f t="shared" ref="H4:H19" si="2">iferror(G4/D4,0)</f>
        <v>560.2584335</v>
      </c>
      <c r="I4" s="42" t="str">
        <f t="shared" ref="I4:I9" si="3">MMC!L14+CuMC!L92+CuMC!L54+CuMC!L15</f>
        <v>#REF!</v>
      </c>
      <c r="J4" s="42" t="str">
        <f t="shared" ref="J4:J9" si="4">MMC!H14+CuMC!H15+CuMC!H54+CuMC!H92</f>
        <v>#REF!</v>
      </c>
      <c r="K4" s="42">
        <f t="shared" ref="K4:K19" si="5">iferror(I4/J4,0)</f>
        <v>0</v>
      </c>
      <c r="L4" s="42" t="str">
        <f t="shared" ref="L4:L19" si="6">(K4-H4)*J4</f>
        <v>#REF!</v>
      </c>
      <c r="O4" s="42">
        <f t="shared" ref="O4:O19" si="7">iferror(L4*100/G4,0)</f>
        <v>0</v>
      </c>
      <c r="P4" s="42" t="str">
        <f t="shared" ref="P4:P19" si="8">D4-J4</f>
        <v>#REF!</v>
      </c>
    </row>
    <row r="5">
      <c r="B5" s="33" t="s">
        <v>58</v>
      </c>
      <c r="C5" s="47">
        <v>36.0</v>
      </c>
      <c r="D5" s="40">
        <v>7.0</v>
      </c>
      <c r="E5" s="41">
        <v>3840.357142857142</v>
      </c>
      <c r="F5" s="40">
        <v>54.762876444461426</v>
      </c>
      <c r="G5" s="42">
        <f t="shared" si="1"/>
        <v>3895.120019</v>
      </c>
      <c r="H5" s="42">
        <f t="shared" si="2"/>
        <v>556.445717</v>
      </c>
      <c r="I5" s="42" t="str">
        <f t="shared" si="3"/>
        <v>#REF!</v>
      </c>
      <c r="J5" s="42" t="str">
        <f t="shared" si="4"/>
        <v>#REF!</v>
      </c>
      <c r="K5" s="42">
        <f t="shared" si="5"/>
        <v>0</v>
      </c>
      <c r="L5" s="42" t="str">
        <f t="shared" si="6"/>
        <v>#REF!</v>
      </c>
      <c r="O5" s="42">
        <f t="shared" si="7"/>
        <v>0</v>
      </c>
      <c r="P5" s="42" t="str">
        <f t="shared" si="8"/>
        <v>#REF!</v>
      </c>
    </row>
    <row r="6">
      <c r="B6" s="33" t="s">
        <v>58</v>
      </c>
      <c r="C6" s="47">
        <v>38.0</v>
      </c>
      <c r="D6" s="40">
        <v>25.0</v>
      </c>
      <c r="E6" s="41">
        <v>13850.430671857142</v>
      </c>
      <c r="F6" s="40">
        <v>396.52758228866554</v>
      </c>
      <c r="G6" s="42">
        <f t="shared" si="1"/>
        <v>14246.95825</v>
      </c>
      <c r="H6" s="42">
        <f t="shared" si="2"/>
        <v>569.8783302</v>
      </c>
      <c r="I6" s="42" t="str">
        <f t="shared" si="3"/>
        <v>#REF!</v>
      </c>
      <c r="J6" s="42" t="str">
        <f t="shared" si="4"/>
        <v>#REF!</v>
      </c>
      <c r="K6" s="42">
        <f t="shared" si="5"/>
        <v>0</v>
      </c>
      <c r="L6" s="42" t="str">
        <f t="shared" si="6"/>
        <v>#REF!</v>
      </c>
      <c r="O6" s="42">
        <f t="shared" si="7"/>
        <v>0</v>
      </c>
      <c r="P6" s="42" t="str">
        <f t="shared" si="8"/>
        <v>#REF!</v>
      </c>
    </row>
    <row r="7">
      <c r="B7" s="33" t="s">
        <v>58</v>
      </c>
      <c r="C7" s="47">
        <v>40.0</v>
      </c>
      <c r="D7" s="40">
        <v>20.0</v>
      </c>
      <c r="E7" s="41">
        <v>11092.983193071428</v>
      </c>
      <c r="F7" s="40">
        <v>298.8615254558905</v>
      </c>
      <c r="G7" s="42">
        <f t="shared" si="1"/>
        <v>11391.84472</v>
      </c>
      <c r="H7" s="42">
        <f t="shared" si="2"/>
        <v>569.5922359</v>
      </c>
      <c r="I7" s="42" t="str">
        <f t="shared" si="3"/>
        <v>#REF!</v>
      </c>
      <c r="J7" s="42" t="str">
        <f t="shared" si="4"/>
        <v>#REF!</v>
      </c>
      <c r="K7" s="42">
        <f t="shared" si="5"/>
        <v>0</v>
      </c>
      <c r="L7" s="42" t="str">
        <f t="shared" si="6"/>
        <v>#REF!</v>
      </c>
      <c r="O7" s="42">
        <f t="shared" si="7"/>
        <v>0</v>
      </c>
      <c r="P7" s="42" t="str">
        <f t="shared" si="8"/>
        <v>#REF!</v>
      </c>
    </row>
    <row r="8">
      <c r="B8" s="33" t="s">
        <v>58</v>
      </c>
      <c r="C8" s="47">
        <v>42.0</v>
      </c>
      <c r="D8" s="40">
        <v>14.0</v>
      </c>
      <c r="E8" s="41">
        <v>7774.107142857142</v>
      </c>
      <c r="F8" s="40">
        <v>135.18304451067908</v>
      </c>
      <c r="G8" s="42">
        <f t="shared" si="1"/>
        <v>7909.290187</v>
      </c>
      <c r="H8" s="42">
        <f t="shared" si="2"/>
        <v>564.9492991</v>
      </c>
      <c r="I8" s="42" t="str">
        <f t="shared" si="3"/>
        <v>#REF!</v>
      </c>
      <c r="J8" s="42" t="str">
        <f t="shared" si="4"/>
        <v>#REF!</v>
      </c>
      <c r="K8" s="42">
        <f t="shared" si="5"/>
        <v>0</v>
      </c>
      <c r="L8" s="42" t="str">
        <f t="shared" si="6"/>
        <v>#REF!</v>
      </c>
      <c r="O8" s="42">
        <f t="shared" si="7"/>
        <v>0</v>
      </c>
      <c r="P8" s="42" t="str">
        <f t="shared" si="8"/>
        <v>#REF!</v>
      </c>
    </row>
    <row r="9">
      <c r="B9" s="33" t="s">
        <v>58</v>
      </c>
      <c r="C9" s="47">
        <v>44.0</v>
      </c>
      <c r="D9" s="51">
        <v>4.0</v>
      </c>
      <c r="E9" s="52">
        <v>2201.071428571428</v>
      </c>
      <c r="F9" s="51">
        <v>29.449760765550213</v>
      </c>
      <c r="G9" s="42">
        <f t="shared" si="1"/>
        <v>2230.521189</v>
      </c>
      <c r="H9" s="42">
        <f t="shared" si="2"/>
        <v>557.6302973</v>
      </c>
      <c r="I9" s="42" t="str">
        <f t="shared" si="3"/>
        <v>#REF!</v>
      </c>
      <c r="J9" s="42" t="str">
        <f t="shared" si="4"/>
        <v>#REF!</v>
      </c>
      <c r="K9" s="42">
        <f t="shared" si="5"/>
        <v>0</v>
      </c>
      <c r="L9" s="42" t="str">
        <f t="shared" si="6"/>
        <v>#REF!</v>
      </c>
      <c r="O9" s="42">
        <f t="shared" si="7"/>
        <v>0</v>
      </c>
      <c r="P9" s="42" t="str">
        <f t="shared" si="8"/>
        <v>#REF!</v>
      </c>
    </row>
    <row r="10">
      <c r="B10" s="33" t="s">
        <v>59</v>
      </c>
      <c r="C10" s="47">
        <v>34.0</v>
      </c>
      <c r="D10" s="53">
        <v>1.0</v>
      </c>
      <c r="E10" s="54">
        <v>539.2857142857143</v>
      </c>
      <c r="F10" s="53">
        <v>4.7248803827751065</v>
      </c>
      <c r="G10" s="42">
        <f t="shared" si="1"/>
        <v>544.0105947</v>
      </c>
      <c r="H10" s="42">
        <f t="shared" si="2"/>
        <v>544.0105947</v>
      </c>
      <c r="I10" s="42" t="str">
        <f t="shared" ref="I10:I14" si="9">MMC!L21+CuMC!L99+CuMC!L61+CuMC!L22</f>
        <v>#REF!</v>
      </c>
      <c r="J10" s="42" t="str">
        <f t="shared" ref="J10:J14" si="10">MMC!H21+CuMC!H22+CuMC!H61+CuMC!H99</f>
        <v>#REF!</v>
      </c>
      <c r="K10" s="42">
        <f t="shared" si="5"/>
        <v>0</v>
      </c>
      <c r="L10" s="42" t="str">
        <f t="shared" si="6"/>
        <v>#REF!</v>
      </c>
      <c r="O10" s="42">
        <f t="shared" si="7"/>
        <v>0</v>
      </c>
      <c r="P10" s="42" t="str">
        <f t="shared" si="8"/>
        <v>#REF!</v>
      </c>
    </row>
    <row r="11">
      <c r="B11" s="33" t="s">
        <v>59</v>
      </c>
      <c r="C11" s="47">
        <v>36.0</v>
      </c>
      <c r="D11" s="40">
        <v>2.0</v>
      </c>
      <c r="E11" s="41">
        <v>1095.1680671857139</v>
      </c>
      <c r="F11" s="40">
        <v>25.313115672775105</v>
      </c>
      <c r="G11" s="42">
        <f t="shared" si="1"/>
        <v>1120.481183</v>
      </c>
      <c r="H11" s="42">
        <f t="shared" si="2"/>
        <v>560.2405914</v>
      </c>
      <c r="I11" s="42" t="str">
        <f t="shared" si="9"/>
        <v>#REF!</v>
      </c>
      <c r="J11" s="42" t="str">
        <f t="shared" si="10"/>
        <v>#REF!</v>
      </c>
      <c r="K11" s="42">
        <f t="shared" si="5"/>
        <v>0</v>
      </c>
      <c r="L11" s="42" t="str">
        <f t="shared" si="6"/>
        <v>#REF!</v>
      </c>
      <c r="O11" s="42">
        <f t="shared" si="7"/>
        <v>0</v>
      </c>
      <c r="P11" s="42" t="str">
        <f t="shared" si="8"/>
        <v>#REF!</v>
      </c>
    </row>
    <row r="12">
      <c r="B12" s="33" t="s">
        <v>59</v>
      </c>
      <c r="C12" s="47">
        <v>38.0</v>
      </c>
      <c r="D12" s="40">
        <v>7.0</v>
      </c>
      <c r="E12" s="41">
        <v>3847.857142857142</v>
      </c>
      <c r="F12" s="40">
        <v>60.897330224964804</v>
      </c>
      <c r="G12" s="42">
        <f t="shared" si="1"/>
        <v>3908.754473</v>
      </c>
      <c r="H12" s="42">
        <f t="shared" si="2"/>
        <v>558.3934962</v>
      </c>
      <c r="I12" s="42" t="str">
        <f t="shared" si="9"/>
        <v>#REF!</v>
      </c>
      <c r="J12" s="42" t="str">
        <f t="shared" si="10"/>
        <v>#REF!</v>
      </c>
      <c r="K12" s="42">
        <f t="shared" si="5"/>
        <v>0</v>
      </c>
      <c r="L12" s="42" t="str">
        <f t="shared" si="6"/>
        <v>#REF!</v>
      </c>
      <c r="O12" s="42">
        <f t="shared" si="7"/>
        <v>0</v>
      </c>
      <c r="P12" s="42" t="str">
        <f t="shared" si="8"/>
        <v>#REF!</v>
      </c>
    </row>
    <row r="13">
      <c r="B13" s="33" t="s">
        <v>59</v>
      </c>
      <c r="C13" s="47">
        <v>40.0</v>
      </c>
      <c r="D13" s="40">
        <v>7.0</v>
      </c>
      <c r="E13" s="41">
        <v>3847.857142857142</v>
      </c>
      <c r="F13" s="40">
        <v>60.897330224964804</v>
      </c>
      <c r="G13" s="42">
        <f t="shared" si="1"/>
        <v>3908.754473</v>
      </c>
      <c r="H13" s="42">
        <f t="shared" si="2"/>
        <v>558.3934962</v>
      </c>
      <c r="I13" s="42" t="str">
        <f t="shared" si="9"/>
        <v>#REF!</v>
      </c>
      <c r="J13" s="42" t="str">
        <f t="shared" si="10"/>
        <v>#REF!</v>
      </c>
      <c r="K13" s="42">
        <f t="shared" si="5"/>
        <v>0</v>
      </c>
      <c r="L13" s="42" t="str">
        <f t="shared" si="6"/>
        <v>#REF!</v>
      </c>
      <c r="O13" s="42">
        <f t="shared" si="7"/>
        <v>0</v>
      </c>
      <c r="P13" s="42" t="str">
        <f t="shared" si="8"/>
        <v>#REF!</v>
      </c>
    </row>
    <row r="14">
      <c r="B14" s="33" t="s">
        <v>59</v>
      </c>
      <c r="C14" s="47">
        <v>42.0</v>
      </c>
      <c r="D14" s="40">
        <v>4.0</v>
      </c>
      <c r="E14" s="41">
        <v>2219.2857142857138</v>
      </c>
      <c r="F14" s="40">
        <v>41.153451811346535</v>
      </c>
      <c r="G14" s="42">
        <f t="shared" si="1"/>
        <v>2260.439166</v>
      </c>
      <c r="H14" s="42">
        <f t="shared" si="2"/>
        <v>565.1097915</v>
      </c>
      <c r="I14" s="42" t="str">
        <f t="shared" si="9"/>
        <v>#REF!</v>
      </c>
      <c r="J14" s="42" t="str">
        <f t="shared" si="10"/>
        <v>#REF!</v>
      </c>
      <c r="K14" s="42">
        <f t="shared" si="5"/>
        <v>0</v>
      </c>
      <c r="L14" s="42" t="str">
        <f t="shared" si="6"/>
        <v>#REF!</v>
      </c>
      <c r="O14" s="42">
        <f t="shared" si="7"/>
        <v>0</v>
      </c>
      <c r="P14" s="42" t="str">
        <f t="shared" si="8"/>
        <v>#REF!</v>
      </c>
    </row>
    <row r="15">
      <c r="B15" s="33" t="s">
        <v>60</v>
      </c>
      <c r="C15" s="47">
        <v>34.0</v>
      </c>
      <c r="D15" s="53">
        <v>1.0</v>
      </c>
      <c r="E15" s="54">
        <v>539.2857142857143</v>
      </c>
      <c r="F15" s="53">
        <v>4.7248803827751065</v>
      </c>
      <c r="G15" s="42">
        <f t="shared" si="1"/>
        <v>544.0105947</v>
      </c>
      <c r="H15" s="42">
        <f t="shared" si="2"/>
        <v>544.0105947</v>
      </c>
      <c r="I15" s="42" t="str">
        <f t="shared" ref="I15:I19" si="11">MMC!L28+CuMC!L106+CuMC!L68+CuMC!L29</f>
        <v>#REF!</v>
      </c>
      <c r="J15" s="42" t="str">
        <f t="shared" ref="J15:J19" si="12">MMC!H28+CuMC!H29+CuMC!H68+CuMC!H106</f>
        <v>#REF!</v>
      </c>
      <c r="K15" s="42">
        <f t="shared" si="5"/>
        <v>0</v>
      </c>
      <c r="L15" s="42" t="str">
        <f t="shared" si="6"/>
        <v>#REF!</v>
      </c>
      <c r="O15" s="42">
        <f t="shared" si="7"/>
        <v>0</v>
      </c>
      <c r="P15" s="42" t="str">
        <f t="shared" si="8"/>
        <v>#REF!</v>
      </c>
    </row>
    <row r="16">
      <c r="B16" s="33" t="s">
        <v>60</v>
      </c>
      <c r="C16" s="47">
        <v>36.0</v>
      </c>
      <c r="D16" s="40">
        <v>1.0</v>
      </c>
      <c r="E16" s="41">
        <v>539.2857142857143</v>
      </c>
      <c r="F16" s="40">
        <v>4.7248803827751065</v>
      </c>
      <c r="G16" s="42">
        <f t="shared" si="1"/>
        <v>544.0105947</v>
      </c>
      <c r="H16" s="42">
        <f t="shared" si="2"/>
        <v>544.0105947</v>
      </c>
      <c r="I16" s="42" t="str">
        <f t="shared" si="11"/>
        <v>#REF!</v>
      </c>
      <c r="J16" s="42" t="str">
        <f t="shared" si="12"/>
        <v>#REF!</v>
      </c>
      <c r="K16" s="42">
        <f t="shared" si="5"/>
        <v>0</v>
      </c>
      <c r="L16" s="42" t="str">
        <f t="shared" si="6"/>
        <v>#REF!</v>
      </c>
      <c r="O16" s="42">
        <f t="shared" si="7"/>
        <v>0</v>
      </c>
      <c r="P16" s="42" t="str">
        <f t="shared" si="8"/>
        <v>#REF!</v>
      </c>
    </row>
    <row r="17">
      <c r="B17" s="33" t="s">
        <v>60</v>
      </c>
      <c r="C17" s="47">
        <v>38.0</v>
      </c>
      <c r="D17" s="40">
        <v>3.0</v>
      </c>
      <c r="E17" s="41">
        <v>1628.571428571428</v>
      </c>
      <c r="F17" s="40">
        <v>19.743878413618262</v>
      </c>
      <c r="G17" s="42">
        <f t="shared" si="1"/>
        <v>1648.315307</v>
      </c>
      <c r="H17" s="42">
        <f t="shared" si="2"/>
        <v>549.4384357</v>
      </c>
      <c r="I17" s="42" t="str">
        <f t="shared" si="11"/>
        <v>#REF!</v>
      </c>
      <c r="J17" s="42" t="str">
        <f t="shared" si="12"/>
        <v>#REF!</v>
      </c>
      <c r="K17" s="42">
        <f t="shared" si="5"/>
        <v>0</v>
      </c>
      <c r="L17" s="42" t="str">
        <f t="shared" si="6"/>
        <v>#REF!</v>
      </c>
      <c r="O17" s="42">
        <f t="shared" si="7"/>
        <v>0</v>
      </c>
      <c r="P17" s="42" t="str">
        <f t="shared" si="8"/>
        <v>#REF!</v>
      </c>
    </row>
    <row r="18">
      <c r="B18" s="33" t="s">
        <v>60</v>
      </c>
      <c r="C18" s="47">
        <v>40.0</v>
      </c>
      <c r="D18" s="40">
        <v>1.0</v>
      </c>
      <c r="E18" s="41">
        <v>550.0</v>
      </c>
      <c r="F18" s="40">
        <v>10.29411764806805</v>
      </c>
      <c r="G18" s="42">
        <f t="shared" si="1"/>
        <v>560.2941176</v>
      </c>
      <c r="H18" s="42">
        <f t="shared" si="2"/>
        <v>560.2941176</v>
      </c>
      <c r="I18" s="42" t="str">
        <f t="shared" si="11"/>
        <v>#REF!</v>
      </c>
      <c r="J18" s="42" t="str">
        <f t="shared" si="12"/>
        <v>#REF!</v>
      </c>
      <c r="K18" s="42">
        <f t="shared" si="5"/>
        <v>0</v>
      </c>
      <c r="L18" s="42" t="str">
        <f t="shared" si="6"/>
        <v>#REF!</v>
      </c>
      <c r="O18" s="42">
        <f t="shared" si="7"/>
        <v>0</v>
      </c>
      <c r="P18" s="42" t="str">
        <f t="shared" si="8"/>
        <v>#REF!</v>
      </c>
    </row>
    <row r="19">
      <c r="B19" s="33" t="s">
        <v>60</v>
      </c>
      <c r="C19" s="47">
        <v>42.0</v>
      </c>
      <c r="D19" s="40">
        <v>1.0</v>
      </c>
      <c r="E19" s="41">
        <v>539.2857142857143</v>
      </c>
      <c r="F19" s="40">
        <v>4.7248803827751065</v>
      </c>
      <c r="G19" s="42">
        <f t="shared" si="1"/>
        <v>544.0105947</v>
      </c>
      <c r="H19" s="42">
        <f t="shared" si="2"/>
        <v>544.0105947</v>
      </c>
      <c r="I19" s="42" t="str">
        <f t="shared" si="11"/>
        <v>#REF!</v>
      </c>
      <c r="J19" s="42" t="str">
        <f t="shared" si="12"/>
        <v>#REF!</v>
      </c>
      <c r="K19" s="42">
        <f t="shared" si="5"/>
        <v>0</v>
      </c>
      <c r="L19" s="42" t="str">
        <f t="shared" si="6"/>
        <v>#REF!</v>
      </c>
      <c r="O19" s="42">
        <f t="shared" si="7"/>
        <v>0</v>
      </c>
      <c r="P19" s="42" t="str">
        <f t="shared" si="8"/>
        <v>#REF!</v>
      </c>
    </row>
  </sheetData>
  <dataValidations>
    <dataValidation type="custom" allowBlank="1" showDropDown="1" sqref="C4:C19">
      <formula1>AND(ISNUMBER(C4),(NOT(OR(NOT(ISERROR(DATEVALUE(C4))), AND(ISNUMBER(C4), LEFT(CELL("format", C4))="D")))))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3.5"/>
    <col customWidth="1" min="2" max="2" width="18.0"/>
    <col customWidth="1" min="4" max="4" width="13.75"/>
    <col customWidth="1" min="5" max="5" width="17.5"/>
    <col customWidth="1" min="6" max="6" width="16.13"/>
    <col customWidth="1" min="7" max="7" width="18.25"/>
    <col customWidth="1" min="8" max="8" width="13.38"/>
    <col customWidth="1" min="10" max="10" width="15.25"/>
    <col customWidth="1" min="11" max="11" width="12.75"/>
  </cols>
  <sheetData>
    <row r="1">
      <c r="A1" s="38" t="s">
        <v>61</v>
      </c>
    </row>
    <row r="2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</row>
    <row r="3">
      <c r="A3" s="29" t="s">
        <v>30</v>
      </c>
      <c r="B3" s="29" t="s">
        <v>31</v>
      </c>
      <c r="C3" s="29" t="s">
        <v>2</v>
      </c>
      <c r="D3" s="29" t="s">
        <v>32</v>
      </c>
      <c r="E3" s="29" t="s">
        <v>39</v>
      </c>
      <c r="F3" s="29" t="s">
        <v>34</v>
      </c>
      <c r="G3" s="29" t="s">
        <v>4</v>
      </c>
      <c r="H3" s="29" t="s">
        <v>35</v>
      </c>
      <c r="I3" s="29" t="s">
        <v>36</v>
      </c>
      <c r="J3" s="29" t="s">
        <v>9</v>
      </c>
      <c r="K3" s="29" t="s">
        <v>10</v>
      </c>
      <c r="L3" s="29" t="s">
        <v>11</v>
      </c>
    </row>
    <row r="4">
      <c r="A4" s="33">
        <v>1.0</v>
      </c>
      <c r="B4" s="33" t="s">
        <v>62</v>
      </c>
      <c r="C4" s="48">
        <v>21.0</v>
      </c>
      <c r="D4" s="55">
        <f>21*120</f>
        <v>2520</v>
      </c>
      <c r="E4" s="48">
        <v>270.6015037593985</v>
      </c>
      <c r="F4" s="50">
        <f t="shared" ref="F4:F13" si="1">D4+E4</f>
        <v>2790.601504</v>
      </c>
      <c r="G4" s="50">
        <f t="shared" ref="G4:G13" si="2">F4/C4</f>
        <v>132.8857859</v>
      </c>
      <c r="H4" s="56">
        <v>4080.0</v>
      </c>
      <c r="I4" s="57">
        <v>21.0</v>
      </c>
      <c r="J4" s="42">
        <f t="shared" ref="J4:J13" si="3">H4/I4</f>
        <v>194.2857143</v>
      </c>
      <c r="K4" s="50">
        <f t="shared" ref="K4:K13" si="4">(J4-G4)*I4</f>
        <v>1289.398496</v>
      </c>
      <c r="L4" s="50">
        <f t="shared" ref="L4:L13" si="5">K4*100/F4</f>
        <v>46.20503839</v>
      </c>
    </row>
    <row r="5">
      <c r="A5" s="33">
        <v>2.0</v>
      </c>
      <c r="B5" s="33" t="s">
        <v>63</v>
      </c>
      <c r="C5" s="48">
        <v>1.0</v>
      </c>
      <c r="D5" s="49">
        <v>200.0</v>
      </c>
      <c r="E5" s="48">
        <v>5.2631578947368425</v>
      </c>
      <c r="F5" s="50">
        <f t="shared" si="1"/>
        <v>205.2631579</v>
      </c>
      <c r="G5" s="50">
        <f t="shared" si="2"/>
        <v>205.2631579</v>
      </c>
      <c r="H5" s="56">
        <v>200.0</v>
      </c>
      <c r="I5" s="57">
        <v>1.0</v>
      </c>
      <c r="J5" s="42">
        <f t="shared" si="3"/>
        <v>200</v>
      </c>
      <c r="K5" s="50">
        <f t="shared" si="4"/>
        <v>-5.263157895</v>
      </c>
      <c r="L5" s="50">
        <f t="shared" si="5"/>
        <v>-2.564102564</v>
      </c>
    </row>
    <row r="6">
      <c r="A6" s="33">
        <v>3.0</v>
      </c>
      <c r="B6" s="33" t="s">
        <v>64</v>
      </c>
      <c r="C6" s="48">
        <v>1.0</v>
      </c>
      <c r="D6" s="49">
        <v>400.0</v>
      </c>
      <c r="E6" s="48">
        <v>5.2631578947368425</v>
      </c>
      <c r="F6" s="50">
        <f t="shared" si="1"/>
        <v>405.2631579</v>
      </c>
      <c r="G6" s="50">
        <f t="shared" si="2"/>
        <v>405.2631579</v>
      </c>
      <c r="H6" s="56">
        <v>400.0</v>
      </c>
      <c r="I6" s="57">
        <v>1.0</v>
      </c>
      <c r="J6" s="42">
        <f t="shared" si="3"/>
        <v>400</v>
      </c>
      <c r="K6" s="50">
        <f t="shared" si="4"/>
        <v>-5.263157895</v>
      </c>
      <c r="L6" s="50">
        <f t="shared" si="5"/>
        <v>-1.298701299</v>
      </c>
    </row>
    <row r="7">
      <c r="A7" s="33">
        <v>4.0</v>
      </c>
      <c r="B7" s="33" t="s">
        <v>65</v>
      </c>
      <c r="C7" s="48">
        <v>1.0</v>
      </c>
      <c r="D7" s="49">
        <v>280.0</v>
      </c>
      <c r="E7" s="48">
        <v>10.714285714285714</v>
      </c>
      <c r="F7" s="50">
        <f t="shared" si="1"/>
        <v>290.7142857</v>
      </c>
      <c r="G7" s="50">
        <f t="shared" si="2"/>
        <v>290.7142857</v>
      </c>
      <c r="H7" s="56">
        <v>100.0</v>
      </c>
      <c r="I7" s="57">
        <v>1.0</v>
      </c>
      <c r="J7" s="42">
        <f t="shared" si="3"/>
        <v>100</v>
      </c>
      <c r="K7" s="50">
        <f t="shared" si="4"/>
        <v>-190.7142857</v>
      </c>
      <c r="L7" s="50">
        <f t="shared" si="5"/>
        <v>-65.6019656</v>
      </c>
    </row>
    <row r="8">
      <c r="A8" s="33">
        <v>5.0</v>
      </c>
      <c r="B8" s="33" t="s">
        <v>66</v>
      </c>
      <c r="C8" s="48">
        <v>2.0</v>
      </c>
      <c r="D8" s="49">
        <v>840.0</v>
      </c>
      <c r="E8" s="48">
        <v>10.526315789473685</v>
      </c>
      <c r="F8" s="50">
        <f t="shared" si="1"/>
        <v>850.5263158</v>
      </c>
      <c r="G8" s="50">
        <f t="shared" si="2"/>
        <v>425.2631579</v>
      </c>
      <c r="H8" s="56">
        <v>840.0</v>
      </c>
      <c r="I8" s="57">
        <v>2.0</v>
      </c>
      <c r="J8" s="42">
        <f t="shared" si="3"/>
        <v>420</v>
      </c>
      <c r="K8" s="50">
        <f t="shared" si="4"/>
        <v>-10.52631579</v>
      </c>
      <c r="L8" s="50">
        <f t="shared" si="5"/>
        <v>-1.237623762</v>
      </c>
    </row>
    <row r="9">
      <c r="A9" s="33">
        <v>6.0</v>
      </c>
      <c r="B9" s="33" t="s">
        <v>67</v>
      </c>
      <c r="C9" s="48">
        <v>5.0</v>
      </c>
      <c r="D9" s="49">
        <v>8100.0</v>
      </c>
      <c r="E9" s="48">
        <v>177.77777777777777</v>
      </c>
      <c r="F9" s="50">
        <f t="shared" si="1"/>
        <v>8277.777778</v>
      </c>
      <c r="G9" s="50">
        <f t="shared" si="2"/>
        <v>1655.555556</v>
      </c>
      <c r="H9" s="56">
        <v>7190.0</v>
      </c>
      <c r="I9" s="57">
        <v>5.0</v>
      </c>
      <c r="J9" s="42">
        <f t="shared" si="3"/>
        <v>1438</v>
      </c>
      <c r="K9" s="50">
        <f t="shared" si="4"/>
        <v>-1087.777778</v>
      </c>
      <c r="L9" s="50">
        <f t="shared" si="5"/>
        <v>-13.1409396</v>
      </c>
    </row>
    <row r="10">
      <c r="A10" s="33">
        <v>7.0</v>
      </c>
      <c r="B10" s="33" t="s">
        <v>68</v>
      </c>
      <c r="C10" s="48">
        <v>4.0</v>
      </c>
      <c r="D10" s="49">
        <v>2060.0</v>
      </c>
      <c r="E10" s="48">
        <v>151.11111111111111</v>
      </c>
      <c r="F10" s="50">
        <f t="shared" si="1"/>
        <v>2211.111111</v>
      </c>
      <c r="G10" s="50">
        <f t="shared" si="2"/>
        <v>552.7777778</v>
      </c>
      <c r="H10" s="56">
        <v>1740.0</v>
      </c>
      <c r="I10" s="57">
        <v>3.0</v>
      </c>
      <c r="J10" s="42">
        <f t="shared" si="3"/>
        <v>580</v>
      </c>
      <c r="K10" s="50">
        <f t="shared" si="4"/>
        <v>81.66666667</v>
      </c>
      <c r="L10" s="50">
        <f t="shared" si="5"/>
        <v>3.693467337</v>
      </c>
    </row>
    <row r="11">
      <c r="A11" s="33">
        <v>8.0</v>
      </c>
      <c r="B11" s="33" t="s">
        <v>69</v>
      </c>
      <c r="C11" s="48">
        <v>2.0</v>
      </c>
      <c r="D11" s="49">
        <v>1200.0</v>
      </c>
      <c r="E11" s="48">
        <v>71.11111111111111</v>
      </c>
      <c r="F11" s="50">
        <f t="shared" si="1"/>
        <v>1271.111111</v>
      </c>
      <c r="G11" s="50">
        <f t="shared" si="2"/>
        <v>635.5555556</v>
      </c>
      <c r="H11" s="56">
        <v>1300.0</v>
      </c>
      <c r="I11" s="57">
        <v>2.0</v>
      </c>
      <c r="J11" s="42">
        <f t="shared" si="3"/>
        <v>650</v>
      </c>
      <c r="K11" s="50">
        <f t="shared" si="4"/>
        <v>28.88888889</v>
      </c>
      <c r="L11" s="50">
        <f t="shared" si="5"/>
        <v>2.272727273</v>
      </c>
    </row>
    <row r="12">
      <c r="A12" s="33">
        <v>9.0</v>
      </c>
      <c r="B12" s="33" t="s">
        <v>70</v>
      </c>
      <c r="C12" s="48">
        <v>1.0</v>
      </c>
      <c r="D12" s="49">
        <v>1230.0</v>
      </c>
      <c r="E12" s="48">
        <v>45.0</v>
      </c>
      <c r="F12" s="50">
        <f t="shared" si="1"/>
        <v>1275</v>
      </c>
      <c r="G12" s="50">
        <f t="shared" si="2"/>
        <v>1275</v>
      </c>
      <c r="H12" s="56">
        <v>1300.0</v>
      </c>
      <c r="I12" s="57">
        <v>1.0</v>
      </c>
      <c r="J12" s="42">
        <f t="shared" si="3"/>
        <v>1300</v>
      </c>
      <c r="K12" s="50">
        <f t="shared" si="4"/>
        <v>25</v>
      </c>
      <c r="L12" s="50">
        <f t="shared" si="5"/>
        <v>1.960784314</v>
      </c>
    </row>
    <row r="13">
      <c r="A13" s="33">
        <v>10.0</v>
      </c>
      <c r="B13" s="33" t="s">
        <v>71</v>
      </c>
      <c r="C13" s="48">
        <v>3.0</v>
      </c>
      <c r="D13" s="49">
        <v>3660.0</v>
      </c>
      <c r="E13" s="48">
        <v>230.0</v>
      </c>
      <c r="F13" s="50">
        <f t="shared" si="1"/>
        <v>3890</v>
      </c>
      <c r="G13" s="50">
        <f t="shared" si="2"/>
        <v>1296.666667</v>
      </c>
      <c r="H13" s="56">
        <v>3900.0</v>
      </c>
      <c r="I13" s="57">
        <v>3.0</v>
      </c>
      <c r="J13" s="42">
        <f t="shared" si="3"/>
        <v>1300</v>
      </c>
      <c r="K13" s="50">
        <f t="shared" si="4"/>
        <v>10</v>
      </c>
      <c r="L13" s="50">
        <f t="shared" si="5"/>
        <v>0.2570694087</v>
      </c>
    </row>
  </sheetData>
  <dataValidations>
    <dataValidation type="custom" allowBlank="1" showDropDown="1" sqref="C4:G13 K4:L13">
      <formula1>AND(ISNUMBER(C4),(NOT(OR(NOT(ISERROR(DATEVALUE(C4))), AND(ISNUMBER(C4), LEFT(CELL("format", C4))="D")))))</formula1>
    </dataValidation>
  </dataValidations>
  <drawing r:id="rId1"/>
  <tableParts count="1">
    <tablePart r:id="rId3"/>
  </tableParts>
</worksheet>
</file>